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C:\Users\yash malra\Downloads\personal financial model\JSW steel ( manufacturing industry)\DCF model\"/>
    </mc:Choice>
  </mc:AlternateContent>
  <xr:revisionPtr revIDLastSave="0" documentId="13_ncr:1_{5D68112A-A613-4E56-BE24-1F5643D25AAA}" xr6:coauthVersionLast="47" xr6:coauthVersionMax="47" xr10:uidLastSave="{00000000-0000-0000-0000-000000000000}"/>
  <bookViews>
    <workbookView xWindow="-120" yWindow="-120" windowWidth="20730" windowHeight="11040" firstSheet="5" activeTab="9" xr2:uid="{00000000-000D-0000-FFFF-FFFF00000000}"/>
  </bookViews>
  <sheets>
    <sheet name="Profit &amp; Loss" sheetId="1" state="hidden" r:id="rId1"/>
    <sheet name="Quarters" sheetId="3" state="hidden" r:id="rId2"/>
    <sheet name="Balance Sheet" sheetId="2" state="hidden" r:id="rId3"/>
    <sheet name="Cash Flow" sheetId="4" state="hidden" r:id="rId4"/>
    <sheet name="Customization" sheetId="5" state="hidden" r:id="rId5"/>
    <sheet name="Historical" sheetId="8" r:id="rId6"/>
    <sheet name="Common Size" sheetId="22" r:id="rId7"/>
    <sheet name="Ratio Analysis" sheetId="12" r:id="rId8"/>
    <sheet name="DCF Model" sheetId="17" r:id="rId9"/>
    <sheet name="FCFF" sheetId="15" r:id="rId10"/>
    <sheet name="Growth" sheetId="16" r:id="rId11"/>
    <sheet name="WACC" sheetId="14" r:id="rId12"/>
    <sheet name="DuPont Analysis" sheetId="24" r:id="rId13"/>
    <sheet name="Altman z score" sheetId="23" r:id="rId14"/>
    <sheet name="Benish Model" sheetId="25" r:id="rId15"/>
    <sheet name="Conclusion" sheetId="20" r:id="rId16"/>
    <sheet name="Cash flow data sheet" sheetId="26" r:id="rId17"/>
    <sheet name="Data Sheet" sheetId="6" r:id="rId18"/>
  </sheets>
  <externalReferences>
    <externalReference r:id="rId19"/>
    <externalReference r:id="rId20"/>
    <externalReference r:id="rId21"/>
  </externalReferences>
  <definedNames>
    <definedName name="ERP" localSheetId="14">[1]FCFF!$F$21</definedName>
    <definedName name="ERP" localSheetId="12">#REF!</definedName>
    <definedName name="ERP">FCFF!$F$22</definedName>
    <definedName name="_xlnm.Print_Area" localSheetId="12">'DuPont Analysis'!$B$1:$I$126</definedName>
    <definedName name="RF" localSheetId="14">[1]FCFF!$F$20</definedName>
    <definedName name="RF" localSheetId="12">#REF!</definedName>
    <definedName name="RF">FCFF!$F$21</definedName>
    <definedName name="rf_rate" localSheetId="12">#REF!</definedName>
    <definedName name="rf_rate">FCFF!$F$21</definedName>
    <definedName name="tap_rate" localSheetId="14">[1]FCFF!$F$18</definedName>
    <definedName name="tap_rate" localSheetId="12">#REF!</definedName>
    <definedName name="tap_rate">FCFF!$F$19</definedName>
    <definedName name="Taper_rate" localSheetId="12">#REF!</definedName>
    <definedName name="Taper_rate">FCFF!$C$21</definedName>
    <definedName name="tax_rate" localSheetId="14">[1]FCFF!$F$22</definedName>
    <definedName name="tax_rate" localSheetId="12">#REF!</definedName>
    <definedName name="tax_rate">FCFF!$F$23</definedName>
    <definedName name="UPDATE" localSheetId="14">'[1]Data sheet'!$E$1</definedName>
    <definedName name="UPDATE" localSheetId="12">'[2]Data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E7" i="17" l="1"/>
  <c r="C44" i="25" l="1"/>
  <c r="D44" i="25"/>
  <c r="E44" i="25"/>
  <c r="F44" i="25"/>
  <c r="G44" i="25"/>
  <c r="H44" i="25"/>
  <c r="C45" i="25"/>
  <c r="D45" i="25"/>
  <c r="E45" i="25"/>
  <c r="F45" i="25"/>
  <c r="G45" i="25"/>
  <c r="H45" i="25"/>
  <c r="I45" i="25"/>
  <c r="I44" i="25"/>
  <c r="I46" i="25" s="1"/>
  <c r="C8" i="25"/>
  <c r="D8" i="25"/>
  <c r="E8" i="25"/>
  <c r="F8" i="25"/>
  <c r="G8" i="25"/>
  <c r="H8" i="25"/>
  <c r="C9" i="25"/>
  <c r="D9" i="25"/>
  <c r="E9" i="25"/>
  <c r="F9" i="25"/>
  <c r="G9" i="25"/>
  <c r="H9" i="25"/>
  <c r="I9" i="25"/>
  <c r="I8" i="25"/>
  <c r="G46" i="25"/>
  <c r="E46" i="25"/>
  <c r="C46" i="25"/>
  <c r="H10" i="25"/>
  <c r="G10" i="25"/>
  <c r="F10" i="25"/>
  <c r="E10" i="25"/>
  <c r="D10" i="25"/>
  <c r="C10" i="25"/>
  <c r="I5" i="25"/>
  <c r="I50" i="25" s="1"/>
  <c r="H5" i="25"/>
  <c r="H50" i="25" s="1"/>
  <c r="G5" i="25"/>
  <c r="G50" i="25" s="1"/>
  <c r="F5" i="25"/>
  <c r="F50" i="25" s="1"/>
  <c r="E5" i="25"/>
  <c r="E50" i="25" s="1"/>
  <c r="D5" i="25"/>
  <c r="D50" i="25" s="1"/>
  <c r="C5" i="25"/>
  <c r="C50" i="25" s="1"/>
  <c r="B3" i="24"/>
  <c r="B5" i="24"/>
  <c r="C68" i="24"/>
  <c r="C75" i="24" s="1"/>
  <c r="D68" i="24"/>
  <c r="E68" i="24"/>
  <c r="E75" i="24" s="1"/>
  <c r="F68" i="24"/>
  <c r="G68" i="24"/>
  <c r="G75" i="24" s="1"/>
  <c r="H68" i="24"/>
  <c r="I68" i="24"/>
  <c r="I75" i="24" s="1"/>
  <c r="C70" i="24"/>
  <c r="C95" i="24" s="1"/>
  <c r="D70" i="24"/>
  <c r="D77" i="24" s="1"/>
  <c r="D102" i="24" s="1"/>
  <c r="E70" i="24"/>
  <c r="E95" i="24" s="1"/>
  <c r="F70" i="24"/>
  <c r="F77" i="24" s="1"/>
  <c r="F102" i="24" s="1"/>
  <c r="G70" i="24"/>
  <c r="G95" i="24" s="1"/>
  <c r="H70" i="24"/>
  <c r="H77" i="24" s="1"/>
  <c r="H102" i="24" s="1"/>
  <c r="I70" i="24"/>
  <c r="I95" i="24" s="1"/>
  <c r="C71" i="24"/>
  <c r="C72" i="24" s="1"/>
  <c r="D71" i="24"/>
  <c r="E71" i="24"/>
  <c r="E72" i="24" s="1"/>
  <c r="F71" i="24"/>
  <c r="G71" i="24"/>
  <c r="G72" i="24" s="1"/>
  <c r="H71" i="24"/>
  <c r="I71" i="24"/>
  <c r="I86" i="24" s="1"/>
  <c r="I72" i="24"/>
  <c r="D75" i="24"/>
  <c r="F75" i="24"/>
  <c r="H75" i="24"/>
  <c r="C77" i="24"/>
  <c r="C102" i="24" s="1"/>
  <c r="E77" i="24"/>
  <c r="E102" i="24" s="1"/>
  <c r="G77" i="24"/>
  <c r="G102" i="24" s="1"/>
  <c r="I77" i="24"/>
  <c r="I102" i="24" s="1"/>
  <c r="C78" i="24"/>
  <c r="C81" i="24" s="1"/>
  <c r="C106" i="24" s="1"/>
  <c r="D78" i="24"/>
  <c r="E78" i="24"/>
  <c r="F78" i="24"/>
  <c r="G78" i="24"/>
  <c r="G81" i="24" s="1"/>
  <c r="G106" i="24" s="1"/>
  <c r="H78" i="24"/>
  <c r="I78" i="24"/>
  <c r="G79" i="24"/>
  <c r="E81" i="24"/>
  <c r="E106" i="24" s="1"/>
  <c r="I81" i="24"/>
  <c r="C82" i="24"/>
  <c r="D82" i="24"/>
  <c r="D85" i="24" s="1"/>
  <c r="D107" i="24" s="1"/>
  <c r="E82" i="24"/>
  <c r="F82" i="24"/>
  <c r="F85" i="24" s="1"/>
  <c r="F107" i="24" s="1"/>
  <c r="G82" i="24"/>
  <c r="H82" i="24"/>
  <c r="H85" i="24" s="1"/>
  <c r="H107" i="24" s="1"/>
  <c r="I82" i="24"/>
  <c r="C85" i="24"/>
  <c r="C107" i="24" s="1"/>
  <c r="E85" i="24"/>
  <c r="E107" i="24" s="1"/>
  <c r="G85" i="24"/>
  <c r="G107" i="24" s="1"/>
  <c r="I85" i="24"/>
  <c r="I107" i="24" s="1"/>
  <c r="D86" i="24"/>
  <c r="F86" i="24"/>
  <c r="H86" i="24"/>
  <c r="C93" i="24"/>
  <c r="D93" i="24"/>
  <c r="E93" i="24"/>
  <c r="F93" i="24"/>
  <c r="G93" i="24"/>
  <c r="H93" i="24"/>
  <c r="I93" i="24"/>
  <c r="H95" i="24"/>
  <c r="C96" i="24"/>
  <c r="D96" i="24"/>
  <c r="E96" i="24"/>
  <c r="F96" i="24"/>
  <c r="G96" i="24"/>
  <c r="H96" i="24"/>
  <c r="I96" i="24"/>
  <c r="C100" i="24"/>
  <c r="D100" i="24"/>
  <c r="E100" i="24"/>
  <c r="F100" i="24"/>
  <c r="G100" i="24"/>
  <c r="H100" i="24"/>
  <c r="I100" i="24"/>
  <c r="E103" i="24"/>
  <c r="I103" i="24"/>
  <c r="I106" i="24"/>
  <c r="I28" i="23"/>
  <c r="H28" i="23"/>
  <c r="G28" i="23"/>
  <c r="F28" i="23"/>
  <c r="E28" i="23"/>
  <c r="D28" i="23"/>
  <c r="C28" i="23"/>
  <c r="I24" i="23"/>
  <c r="H24" i="23"/>
  <c r="G24" i="23"/>
  <c r="F24" i="23"/>
  <c r="E24" i="23"/>
  <c r="D24" i="23"/>
  <c r="C24" i="23"/>
  <c r="I23" i="23"/>
  <c r="H23" i="23"/>
  <c r="H25" i="23" s="1"/>
  <c r="G23" i="23"/>
  <c r="F23" i="23"/>
  <c r="F25" i="23" s="1"/>
  <c r="E23" i="23"/>
  <c r="D23" i="23"/>
  <c r="D25" i="23" s="1"/>
  <c r="C23" i="23"/>
  <c r="I18" i="23"/>
  <c r="H18" i="23"/>
  <c r="G18" i="23"/>
  <c r="F18" i="23"/>
  <c r="E18" i="23"/>
  <c r="D18" i="23"/>
  <c r="C18" i="23"/>
  <c r="I13" i="23"/>
  <c r="H13" i="23"/>
  <c r="G13" i="23"/>
  <c r="F13" i="23"/>
  <c r="E13" i="23"/>
  <c r="D13" i="23"/>
  <c r="C13" i="23"/>
  <c r="I9" i="23"/>
  <c r="I14" i="23" s="1"/>
  <c r="I19" i="23" s="1"/>
  <c r="I29" i="23" s="1"/>
  <c r="H9" i="23"/>
  <c r="H14" i="23" s="1"/>
  <c r="H19" i="23" s="1"/>
  <c r="H29" i="23" s="1"/>
  <c r="G9" i="23"/>
  <c r="G14" i="23" s="1"/>
  <c r="G19" i="23" s="1"/>
  <c r="G29" i="23" s="1"/>
  <c r="F9" i="23"/>
  <c r="F14" i="23" s="1"/>
  <c r="F19" i="23" s="1"/>
  <c r="F29" i="23" s="1"/>
  <c r="E9" i="23"/>
  <c r="E14" i="23" s="1"/>
  <c r="E19" i="23" s="1"/>
  <c r="E29" i="23" s="1"/>
  <c r="D9" i="23"/>
  <c r="D14" i="23" s="1"/>
  <c r="D19" i="23" s="1"/>
  <c r="D29" i="23" s="1"/>
  <c r="C9" i="23"/>
  <c r="C14" i="23" s="1"/>
  <c r="C19" i="23" s="1"/>
  <c r="C29" i="23" s="1"/>
  <c r="I8" i="23"/>
  <c r="H8" i="23"/>
  <c r="H10" i="23" s="1"/>
  <c r="G8" i="23"/>
  <c r="F8" i="23"/>
  <c r="F10" i="23" s="1"/>
  <c r="E8" i="23"/>
  <c r="D8" i="23"/>
  <c r="D10" i="23" s="1"/>
  <c r="C8" i="23"/>
  <c r="I5" i="23"/>
  <c r="I35" i="23" s="1"/>
  <c r="H5" i="23"/>
  <c r="H35" i="23" s="1"/>
  <c r="G5" i="23"/>
  <c r="G35" i="23" s="1"/>
  <c r="F5" i="23"/>
  <c r="F35" i="23" s="1"/>
  <c r="E5" i="23"/>
  <c r="E35" i="23" s="1"/>
  <c r="D5" i="23"/>
  <c r="D35" i="23" s="1"/>
  <c r="C5" i="23"/>
  <c r="C35" i="23" s="1"/>
  <c r="D15" i="23" l="1"/>
  <c r="F15" i="23"/>
  <c r="H15" i="23"/>
  <c r="D30" i="23"/>
  <c r="F30" i="23"/>
  <c r="H30" i="23"/>
  <c r="H97" i="24"/>
  <c r="E20" i="23"/>
  <c r="I20" i="23"/>
  <c r="C10" i="23"/>
  <c r="E10" i="23"/>
  <c r="G10" i="23"/>
  <c r="I10" i="23"/>
  <c r="E15" i="23"/>
  <c r="I15" i="23"/>
  <c r="C25" i="23"/>
  <c r="E25" i="23"/>
  <c r="G25" i="23"/>
  <c r="I25" i="23"/>
  <c r="G103" i="24"/>
  <c r="G104" i="24" s="1"/>
  <c r="C103" i="24"/>
  <c r="C104" i="24" s="1"/>
  <c r="D95" i="24"/>
  <c r="D97" i="24" s="1"/>
  <c r="I87" i="24"/>
  <c r="G86" i="24"/>
  <c r="G87" i="24" s="1"/>
  <c r="E86" i="24"/>
  <c r="E87" i="24" s="1"/>
  <c r="C86" i="24"/>
  <c r="C87" i="24" s="1"/>
  <c r="C79" i="24"/>
  <c r="H79" i="24"/>
  <c r="F79" i="24"/>
  <c r="D79" i="24"/>
  <c r="I104" i="24"/>
  <c r="E104" i="24"/>
  <c r="F95" i="24"/>
  <c r="F97" i="24" s="1"/>
  <c r="H87" i="24"/>
  <c r="F87" i="24"/>
  <c r="D87" i="24"/>
  <c r="I108" i="24"/>
  <c r="G108" i="24"/>
  <c r="E108" i="24"/>
  <c r="C108" i="24"/>
  <c r="I83" i="24"/>
  <c r="G83" i="24"/>
  <c r="E83" i="24"/>
  <c r="C83" i="24"/>
  <c r="H81" i="24"/>
  <c r="F81" i="24"/>
  <c r="D81" i="24"/>
  <c r="I79" i="24"/>
  <c r="E79" i="24"/>
  <c r="E89" i="24" s="1"/>
  <c r="H72" i="24"/>
  <c r="F72" i="24"/>
  <c r="D72" i="24"/>
  <c r="I97" i="24"/>
  <c r="G97" i="24"/>
  <c r="E97" i="24"/>
  <c r="C97" i="24"/>
  <c r="D46" i="25"/>
  <c r="F46" i="25"/>
  <c r="H46" i="25"/>
  <c r="I10" i="25"/>
  <c r="G89" i="24"/>
  <c r="I110" i="24"/>
  <c r="E110" i="24"/>
  <c r="H103" i="24"/>
  <c r="H104" i="24" s="1"/>
  <c r="F103" i="24"/>
  <c r="F104" i="24" s="1"/>
  <c r="D103" i="24"/>
  <c r="D104" i="24" s="1"/>
  <c r="C15" i="23"/>
  <c r="G15" i="23"/>
  <c r="C20" i="23"/>
  <c r="G20" i="23"/>
  <c r="D20" i="23"/>
  <c r="D36" i="23" s="1"/>
  <c r="D38" i="23" s="1"/>
  <c r="F20" i="23"/>
  <c r="F36" i="23" s="1"/>
  <c r="F38" i="23" s="1"/>
  <c r="H20" i="23"/>
  <c r="H36" i="23" s="1"/>
  <c r="H38" i="23" s="1"/>
  <c r="C30" i="23"/>
  <c r="C36" i="23" s="1"/>
  <c r="C38" i="23" s="1"/>
  <c r="E30" i="23"/>
  <c r="E36" i="23" s="1"/>
  <c r="E38" i="23" s="1"/>
  <c r="G30" i="23"/>
  <c r="I30" i="23"/>
  <c r="I36" i="23" s="1"/>
  <c r="I38" i="23" s="1"/>
  <c r="I89" i="24" l="1"/>
  <c r="C89" i="24"/>
  <c r="C110" i="24"/>
  <c r="G110" i="24"/>
  <c r="G36" i="23"/>
  <c r="G38" i="23" s="1"/>
  <c r="D106" i="24"/>
  <c r="D108" i="24" s="1"/>
  <c r="D110" i="24" s="1"/>
  <c r="D83" i="24"/>
  <c r="D89" i="24" s="1"/>
  <c r="H106" i="24"/>
  <c r="H108" i="24" s="1"/>
  <c r="H110" i="24" s="1"/>
  <c r="H83" i="24"/>
  <c r="H89" i="24" s="1"/>
  <c r="F106" i="24"/>
  <c r="F108" i="24" s="1"/>
  <c r="F110" i="24" s="1"/>
  <c r="F83" i="24"/>
  <c r="F89" i="24" s="1"/>
  <c r="E1" i="6"/>
  <c r="L23" i="17"/>
  <c r="O39" i="22"/>
  <c r="N39" i="22"/>
  <c r="M39" i="22"/>
  <c r="L39" i="22"/>
  <c r="K39" i="22"/>
  <c r="J39" i="22"/>
  <c r="I39" i="22"/>
  <c r="H39" i="22"/>
  <c r="G39" i="22"/>
  <c r="F39" i="22"/>
  <c r="O38" i="22"/>
  <c r="N38" i="22"/>
  <c r="M38" i="22"/>
  <c r="L38" i="22"/>
  <c r="K38" i="22"/>
  <c r="J38" i="22"/>
  <c r="I38" i="22"/>
  <c r="H38" i="22"/>
  <c r="G38" i="22"/>
  <c r="F38" i="22"/>
  <c r="O37" i="22"/>
  <c r="N37" i="22"/>
  <c r="M37" i="22"/>
  <c r="L37" i="22"/>
  <c r="K37" i="22"/>
  <c r="J37" i="22"/>
  <c r="I37" i="22"/>
  <c r="H37" i="22"/>
  <c r="G37" i="22"/>
  <c r="F37" i="22"/>
  <c r="O36" i="22"/>
  <c r="N36" i="22"/>
  <c r="M36" i="22"/>
  <c r="L36" i="22"/>
  <c r="K36" i="22"/>
  <c r="J36" i="22"/>
  <c r="I36" i="22"/>
  <c r="H36" i="22"/>
  <c r="G36" i="22"/>
  <c r="F36" i="22"/>
  <c r="O35" i="22"/>
  <c r="N35" i="22"/>
  <c r="M35" i="22"/>
  <c r="L35" i="22"/>
  <c r="K35" i="22"/>
  <c r="J35" i="22"/>
  <c r="I35" i="22"/>
  <c r="H35" i="22"/>
  <c r="G35" i="22"/>
  <c r="F35" i="22"/>
  <c r="O34" i="22"/>
  <c r="N34" i="22"/>
  <c r="M34" i="22"/>
  <c r="L34" i="22"/>
  <c r="K34" i="22"/>
  <c r="J34" i="22"/>
  <c r="I34" i="22"/>
  <c r="H34" i="22"/>
  <c r="G34" i="22"/>
  <c r="F34" i="22"/>
  <c r="O33" i="22"/>
  <c r="N33" i="22"/>
  <c r="M33" i="22"/>
  <c r="L33" i="22"/>
  <c r="K33" i="22"/>
  <c r="J33" i="22"/>
  <c r="I33" i="22"/>
  <c r="H33" i="22"/>
  <c r="G33" i="22"/>
  <c r="F33" i="22"/>
  <c r="O32" i="22"/>
  <c r="N32" i="22"/>
  <c r="M32" i="22"/>
  <c r="L32" i="22"/>
  <c r="K32" i="22"/>
  <c r="J32" i="22"/>
  <c r="I32" i="22"/>
  <c r="H32" i="22"/>
  <c r="G32" i="22"/>
  <c r="F32" i="22"/>
  <c r="O31" i="22"/>
  <c r="N31" i="22"/>
  <c r="M31" i="22"/>
  <c r="L31" i="22"/>
  <c r="K31" i="22"/>
  <c r="J31" i="22"/>
  <c r="I31" i="22"/>
  <c r="H31" i="22"/>
  <c r="G31" i="22"/>
  <c r="F31" i="22"/>
  <c r="O30" i="22"/>
  <c r="N30" i="22"/>
  <c r="M30" i="22"/>
  <c r="L30" i="22"/>
  <c r="K30" i="22"/>
  <c r="J30" i="22"/>
  <c r="I30" i="22"/>
  <c r="H30" i="22"/>
  <c r="G30" i="22"/>
  <c r="F30" i="22"/>
  <c r="O29" i="22"/>
  <c r="N29" i="22"/>
  <c r="M29" i="22"/>
  <c r="L29" i="22"/>
  <c r="K29" i="22"/>
  <c r="J29" i="22"/>
  <c r="I29" i="22"/>
  <c r="H29" i="22"/>
  <c r="G29" i="22"/>
  <c r="F29" i="22"/>
  <c r="O28" i="22"/>
  <c r="N28" i="22"/>
  <c r="M28" i="22"/>
  <c r="L28" i="22"/>
  <c r="K28" i="22"/>
  <c r="J28" i="22"/>
  <c r="I28" i="22"/>
  <c r="H28" i="22"/>
  <c r="G28" i="22"/>
  <c r="F28" i="22"/>
  <c r="O27" i="22"/>
  <c r="N27" i="22"/>
  <c r="M27" i="22"/>
  <c r="L27" i="22"/>
  <c r="K27" i="22"/>
  <c r="J27" i="22"/>
  <c r="I27" i="22"/>
  <c r="H27" i="22"/>
  <c r="G27" i="22"/>
  <c r="F27" i="22"/>
  <c r="B39" i="22"/>
  <c r="B38" i="22"/>
  <c r="B37" i="22"/>
  <c r="B35" i="22"/>
  <c r="B34" i="22"/>
  <c r="B33" i="22"/>
  <c r="B32" i="22"/>
  <c r="B30" i="22"/>
  <c r="B29" i="22"/>
  <c r="B28" i="22"/>
  <c r="B27" i="22"/>
  <c r="O21" i="22"/>
  <c r="N21" i="22"/>
  <c r="M21" i="22"/>
  <c r="L21" i="22"/>
  <c r="K21" i="22"/>
  <c r="J21" i="22"/>
  <c r="I21" i="22"/>
  <c r="H21" i="22"/>
  <c r="G21" i="22"/>
  <c r="F21" i="22"/>
  <c r="G20" i="22"/>
  <c r="H20" i="22"/>
  <c r="I20" i="22"/>
  <c r="J20" i="22"/>
  <c r="K20" i="22"/>
  <c r="L20" i="22"/>
  <c r="M20" i="22"/>
  <c r="N20" i="22"/>
  <c r="O20" i="22"/>
  <c r="F20" i="22"/>
  <c r="F11" i="22"/>
  <c r="G11" i="22"/>
  <c r="H11" i="22"/>
  <c r="I11" i="22"/>
  <c r="J11" i="22"/>
  <c r="K11" i="22"/>
  <c r="L11" i="22"/>
  <c r="M11" i="22"/>
  <c r="N11" i="22"/>
  <c r="O11" i="22"/>
  <c r="F12" i="22"/>
  <c r="G12" i="22"/>
  <c r="H12" i="22"/>
  <c r="I12" i="22"/>
  <c r="J12" i="22"/>
  <c r="K12" i="22"/>
  <c r="L12" i="22"/>
  <c r="M12" i="22"/>
  <c r="N12" i="22"/>
  <c r="O12" i="22"/>
  <c r="F13" i="22"/>
  <c r="G13" i="22"/>
  <c r="H13" i="22"/>
  <c r="I13" i="22"/>
  <c r="J13" i="22"/>
  <c r="K13" i="22"/>
  <c r="L13" i="22"/>
  <c r="M13" i="22"/>
  <c r="N13" i="22"/>
  <c r="O13" i="22"/>
  <c r="F14" i="22"/>
  <c r="G14" i="22"/>
  <c r="H14" i="22"/>
  <c r="I14" i="22"/>
  <c r="J14" i="22"/>
  <c r="K14" i="22"/>
  <c r="L14" i="22"/>
  <c r="M14" i="22"/>
  <c r="N14" i="22"/>
  <c r="O14" i="22"/>
  <c r="F15" i="22"/>
  <c r="G15" i="22"/>
  <c r="H15" i="22"/>
  <c r="I15" i="22"/>
  <c r="J15" i="22"/>
  <c r="K15" i="22"/>
  <c r="L15" i="22"/>
  <c r="M15" i="22"/>
  <c r="N15" i="22"/>
  <c r="O15" i="22"/>
  <c r="F16" i="22"/>
  <c r="G16" i="22"/>
  <c r="H16" i="22"/>
  <c r="I16" i="22"/>
  <c r="J16" i="22"/>
  <c r="K16" i="22"/>
  <c r="L16" i="22"/>
  <c r="M16" i="22"/>
  <c r="N16" i="22"/>
  <c r="O16" i="22"/>
  <c r="F17" i="22"/>
  <c r="G17" i="22"/>
  <c r="H17" i="22"/>
  <c r="I17" i="22"/>
  <c r="J17" i="22"/>
  <c r="K17" i="22"/>
  <c r="L17" i="22"/>
  <c r="M17" i="22"/>
  <c r="N17" i="22"/>
  <c r="O17" i="22"/>
  <c r="F18" i="22"/>
  <c r="G18" i="22"/>
  <c r="H18" i="22"/>
  <c r="I18" i="22"/>
  <c r="J18" i="22"/>
  <c r="K18" i="22"/>
  <c r="L18" i="22"/>
  <c r="M18" i="22"/>
  <c r="N18" i="22"/>
  <c r="O18" i="22"/>
  <c r="F19" i="22"/>
  <c r="G19" i="22"/>
  <c r="H19" i="22"/>
  <c r="I19" i="22"/>
  <c r="J19" i="22"/>
  <c r="K19" i="22"/>
  <c r="L19" i="22"/>
  <c r="M19" i="22"/>
  <c r="N19" i="22"/>
  <c r="O19" i="22"/>
  <c r="F10" i="22"/>
  <c r="G10" i="22"/>
  <c r="H10" i="22"/>
  <c r="I10" i="22"/>
  <c r="J10" i="22"/>
  <c r="K10" i="22"/>
  <c r="L10" i="22"/>
  <c r="M10" i="22"/>
  <c r="N10" i="22"/>
  <c r="O10" i="22"/>
  <c r="F9" i="22"/>
  <c r="G9" i="22"/>
  <c r="H9" i="22"/>
  <c r="I9" i="22"/>
  <c r="J9" i="22"/>
  <c r="K9" i="22"/>
  <c r="L9" i="22"/>
  <c r="M9" i="22"/>
  <c r="N9" i="22"/>
  <c r="O9" i="22"/>
  <c r="G8" i="22"/>
  <c r="H8" i="22"/>
  <c r="I8" i="22"/>
  <c r="J8" i="22"/>
  <c r="K8" i="22"/>
  <c r="L8" i="22"/>
  <c r="M8" i="22"/>
  <c r="N8" i="22"/>
  <c r="O8" i="22"/>
  <c r="F8" i="22"/>
  <c r="B23" i="22"/>
  <c r="B21" i="22"/>
  <c r="B20" i="22"/>
  <c r="B19" i="22"/>
  <c r="B18" i="22"/>
  <c r="B17" i="22"/>
  <c r="B16" i="22"/>
  <c r="B15" i="22"/>
  <c r="B14" i="22"/>
  <c r="B13" i="22"/>
  <c r="B12" i="22"/>
  <c r="B11" i="22"/>
  <c r="B10" i="22"/>
  <c r="B9" i="22"/>
  <c r="B8" i="22"/>
  <c r="O5" i="22" l="1"/>
  <c r="N5" i="22"/>
  <c r="M5" i="22"/>
  <c r="L5" i="22"/>
  <c r="K5" i="22"/>
  <c r="J5" i="22"/>
  <c r="I5" i="22"/>
  <c r="H5" i="22"/>
  <c r="G5" i="22"/>
  <c r="F5" i="22"/>
  <c r="B2" i="8" l="1"/>
  <c r="D5" i="12" l="1"/>
  <c r="E5" i="12"/>
  <c r="F5" i="12"/>
  <c r="G5" i="12"/>
  <c r="H5" i="12"/>
  <c r="I5" i="12"/>
  <c r="J5" i="12"/>
  <c r="K5" i="12"/>
  <c r="L5" i="12"/>
  <c r="C5" i="12"/>
  <c r="D42" i="8"/>
  <c r="E42" i="8"/>
  <c r="F42" i="8"/>
  <c r="G42" i="8"/>
  <c r="H42" i="8"/>
  <c r="I42" i="8"/>
  <c r="J42" i="8"/>
  <c r="K42" i="8"/>
  <c r="L42" i="8"/>
  <c r="C42" i="8"/>
  <c r="L22" i="17"/>
  <c r="E13" i="17"/>
  <c r="I16" i="14"/>
  <c r="E16" i="14"/>
  <c r="I17" i="14"/>
  <c r="E17" i="14"/>
  <c r="E32" i="14" s="1"/>
  <c r="D17" i="14"/>
  <c r="E31" i="14" s="1"/>
  <c r="D16" i="14"/>
  <c r="H11" i="14"/>
  <c r="H12" i="14"/>
  <c r="H13" i="14"/>
  <c r="H14" i="14"/>
  <c r="H10" i="14"/>
  <c r="G11" i="14"/>
  <c r="G12" i="14"/>
  <c r="G13" i="14"/>
  <c r="G14" i="14"/>
  <c r="G10" i="14"/>
  <c r="C32" i="14"/>
  <c r="C31" i="14"/>
  <c r="F14" i="14"/>
  <c r="F13" i="14"/>
  <c r="F12" i="14"/>
  <c r="F11" i="14"/>
  <c r="F10" i="14"/>
  <c r="M22" i="14"/>
  <c r="E23" i="14"/>
  <c r="E39" i="15"/>
  <c r="E31" i="15"/>
  <c r="F28" i="15"/>
  <c r="G28" i="15" s="1"/>
  <c r="H28" i="15" s="1"/>
  <c r="I28" i="15" s="1"/>
  <c r="J28" i="15" s="1"/>
  <c r="J39" i="15" s="1"/>
  <c r="M41" i="14" l="1"/>
  <c r="H16" i="14"/>
  <c r="M40" i="14"/>
  <c r="G16" i="14"/>
  <c r="I13" i="17"/>
  <c r="G13" i="17"/>
  <c r="B6" i="17"/>
  <c r="J13" i="17"/>
  <c r="K13" i="17" s="1"/>
  <c r="H13" i="17"/>
  <c r="F13" i="17"/>
  <c r="F16" i="14"/>
  <c r="J14" i="14"/>
  <c r="J12" i="14"/>
  <c r="F17" i="14"/>
  <c r="J13" i="14"/>
  <c r="J11" i="14"/>
  <c r="J10" i="14"/>
  <c r="G17" i="14"/>
  <c r="H17" i="14"/>
  <c r="G39" i="15"/>
  <c r="I39" i="15"/>
  <c r="F39" i="15"/>
  <c r="H39" i="15"/>
  <c r="J16" i="14" l="1"/>
  <c r="J17" i="14"/>
  <c r="M30" i="14" s="1"/>
  <c r="F22" i="15" l="1"/>
  <c r="M23" i="14" s="1"/>
  <c r="L16" i="16"/>
  <c r="K16" i="16"/>
  <c r="J16" i="16"/>
  <c r="I16" i="16"/>
  <c r="H16" i="16"/>
  <c r="G16" i="16"/>
  <c r="F16" i="16"/>
  <c r="E16" i="16"/>
  <c r="D16" i="16"/>
  <c r="C16" i="16"/>
  <c r="L15" i="16"/>
  <c r="K15" i="16"/>
  <c r="J15" i="16"/>
  <c r="I15" i="16"/>
  <c r="H15" i="16"/>
  <c r="G15" i="16"/>
  <c r="F15" i="16"/>
  <c r="E15" i="16"/>
  <c r="D15" i="16"/>
  <c r="C15" i="16"/>
  <c r="L5" i="16"/>
  <c r="L12" i="16" s="1"/>
  <c r="L24" i="16" s="1"/>
  <c r="K5" i="16"/>
  <c r="K12" i="16" s="1"/>
  <c r="K24" i="16" s="1"/>
  <c r="J5" i="16"/>
  <c r="J12" i="16" s="1"/>
  <c r="J24" i="16" s="1"/>
  <c r="I5" i="16"/>
  <c r="I12" i="16" s="1"/>
  <c r="I24" i="16" s="1"/>
  <c r="H5" i="16"/>
  <c r="H12" i="16" s="1"/>
  <c r="H24" i="16" s="1"/>
  <c r="G5" i="16"/>
  <c r="G12" i="16" s="1"/>
  <c r="G24" i="16" s="1"/>
  <c r="F5" i="16"/>
  <c r="F12" i="16" s="1"/>
  <c r="F24" i="16" s="1"/>
  <c r="E5" i="16"/>
  <c r="E12" i="16" s="1"/>
  <c r="E24" i="16" s="1"/>
  <c r="D5" i="16"/>
  <c r="D12" i="16" s="1"/>
  <c r="D24" i="16" s="1"/>
  <c r="C5" i="16"/>
  <c r="C12" i="16" s="1"/>
  <c r="C24" i="16" s="1"/>
  <c r="C10" i="8" l="1"/>
  <c r="C33" i="14"/>
  <c r="D32" i="14" s="1"/>
  <c r="M32" i="14"/>
  <c r="E36" i="14"/>
  <c r="E24" i="14"/>
  <c r="L40" i="14" s="1"/>
  <c r="L81" i="8"/>
  <c r="K81" i="8"/>
  <c r="J81" i="8"/>
  <c r="I81" i="8"/>
  <c r="H81" i="8"/>
  <c r="G81" i="8"/>
  <c r="F81" i="8"/>
  <c r="E81" i="8"/>
  <c r="D81" i="8"/>
  <c r="C81" i="8"/>
  <c r="L79" i="8"/>
  <c r="K79" i="8"/>
  <c r="J79" i="8"/>
  <c r="I79" i="8"/>
  <c r="H79" i="8"/>
  <c r="G79" i="8"/>
  <c r="F79" i="8"/>
  <c r="E79" i="8"/>
  <c r="D79" i="8"/>
  <c r="C79" i="8"/>
  <c r="L77" i="8"/>
  <c r="K77" i="8"/>
  <c r="J77" i="8"/>
  <c r="I77" i="8"/>
  <c r="H77" i="8"/>
  <c r="G77" i="8"/>
  <c r="F77" i="8"/>
  <c r="E77" i="8"/>
  <c r="D77" i="8"/>
  <c r="C77" i="8"/>
  <c r="L75" i="8"/>
  <c r="I39" i="25" s="1"/>
  <c r="K75" i="8"/>
  <c r="H39" i="25" s="1"/>
  <c r="J75" i="8"/>
  <c r="G39" i="25" s="1"/>
  <c r="I75" i="8"/>
  <c r="F39" i="25" s="1"/>
  <c r="H75" i="8"/>
  <c r="E39" i="25" s="1"/>
  <c r="G75" i="8"/>
  <c r="D39" i="25" s="1"/>
  <c r="F75" i="8"/>
  <c r="C39" i="25" s="1"/>
  <c r="E75" i="8"/>
  <c r="D75" i="8"/>
  <c r="C75" i="8"/>
  <c r="M31" i="14" l="1"/>
  <c r="M33" i="14" s="1"/>
  <c r="M24" i="14" s="1"/>
  <c r="M25" i="14" s="1"/>
  <c r="L41" i="14" s="1"/>
  <c r="L42" i="14" s="1"/>
  <c r="E8" i="17" s="1"/>
  <c r="D31" i="14"/>
  <c r="I16" i="17" l="1"/>
  <c r="G16" i="17"/>
  <c r="E16" i="17"/>
  <c r="J16" i="17"/>
  <c r="L16" i="17" s="1"/>
  <c r="H16" i="17"/>
  <c r="F16" i="17"/>
  <c r="D36" i="14"/>
  <c r="D33" i="14"/>
  <c r="C61" i="8"/>
  <c r="L61" i="8"/>
  <c r="K61" i="8"/>
  <c r="J61" i="8"/>
  <c r="I61" i="8"/>
  <c r="H61" i="8"/>
  <c r="G61" i="8"/>
  <c r="F61" i="8"/>
  <c r="E61" i="8"/>
  <c r="D61" i="8"/>
  <c r="C60" i="8"/>
  <c r="L66" i="8"/>
  <c r="K66" i="8"/>
  <c r="J66" i="8"/>
  <c r="I66" i="8"/>
  <c r="H66" i="8"/>
  <c r="G66" i="8"/>
  <c r="F66" i="8"/>
  <c r="E66" i="8"/>
  <c r="D66" i="8"/>
  <c r="C66" i="8"/>
  <c r="L65" i="8"/>
  <c r="K65" i="8"/>
  <c r="J65" i="8"/>
  <c r="I65" i="8"/>
  <c r="H65" i="8"/>
  <c r="G65" i="8"/>
  <c r="F65" i="8"/>
  <c r="E65" i="8"/>
  <c r="D65" i="8"/>
  <c r="C65" i="8"/>
  <c r="L64" i="8"/>
  <c r="L67" i="8" s="1"/>
  <c r="K64" i="8"/>
  <c r="K67" i="8" s="1"/>
  <c r="J64" i="8"/>
  <c r="J67" i="8" s="1"/>
  <c r="I64" i="8"/>
  <c r="I67" i="8" s="1"/>
  <c r="H64" i="8"/>
  <c r="H67" i="8" s="1"/>
  <c r="G64" i="8"/>
  <c r="G67" i="8" s="1"/>
  <c r="F64" i="8"/>
  <c r="F67" i="8" s="1"/>
  <c r="E64" i="8"/>
  <c r="E67" i="8" s="1"/>
  <c r="D64" i="8"/>
  <c r="D67" i="8" s="1"/>
  <c r="C64" i="8"/>
  <c r="C67" i="8" s="1"/>
  <c r="L60" i="8"/>
  <c r="K60" i="8"/>
  <c r="J60" i="8"/>
  <c r="I60" i="8"/>
  <c r="H60" i="8"/>
  <c r="G60" i="8"/>
  <c r="F60" i="8"/>
  <c r="E60" i="8"/>
  <c r="D60" i="8"/>
  <c r="L59" i="8"/>
  <c r="K59" i="8"/>
  <c r="J59" i="8"/>
  <c r="I59" i="8"/>
  <c r="H59" i="8"/>
  <c r="G59" i="8"/>
  <c r="F59" i="8"/>
  <c r="E59" i="8"/>
  <c r="D59" i="8"/>
  <c r="L58" i="8"/>
  <c r="K58" i="8"/>
  <c r="J58" i="8"/>
  <c r="I58" i="8"/>
  <c r="H58" i="8"/>
  <c r="G58" i="8"/>
  <c r="F58" i="8"/>
  <c r="E58" i="8"/>
  <c r="D58" i="8"/>
  <c r="C59" i="8"/>
  <c r="C58" i="8"/>
  <c r="C55" i="8"/>
  <c r="L56" i="8"/>
  <c r="K56" i="8"/>
  <c r="J56" i="8"/>
  <c r="I56" i="8"/>
  <c r="H56" i="8"/>
  <c r="G56" i="8"/>
  <c r="F56" i="8"/>
  <c r="E56" i="8"/>
  <c r="D56" i="8"/>
  <c r="L55" i="8"/>
  <c r="K55" i="8"/>
  <c r="J55" i="8"/>
  <c r="I55" i="8"/>
  <c r="H55" i="8"/>
  <c r="G55" i="8"/>
  <c r="F55" i="8"/>
  <c r="E55" i="8"/>
  <c r="D55" i="8"/>
  <c r="L54" i="8"/>
  <c r="L45" i="12" s="1"/>
  <c r="K54" i="8"/>
  <c r="K45" i="12" s="1"/>
  <c r="J54" i="8"/>
  <c r="J45" i="12" s="1"/>
  <c r="I54" i="8"/>
  <c r="I45" i="12" s="1"/>
  <c r="H54" i="8"/>
  <c r="H45" i="12" s="1"/>
  <c r="G54" i="8"/>
  <c r="G45" i="12" s="1"/>
  <c r="F54" i="8"/>
  <c r="F45" i="12" s="1"/>
  <c r="E54" i="8"/>
  <c r="E45" i="12" s="1"/>
  <c r="D54" i="8"/>
  <c r="D45" i="12" s="1"/>
  <c r="L53" i="8"/>
  <c r="K53" i="8"/>
  <c r="J53" i="8"/>
  <c r="I53" i="8"/>
  <c r="H53" i="8"/>
  <c r="G53" i="8"/>
  <c r="F53" i="8"/>
  <c r="E53" i="8"/>
  <c r="D53" i="8"/>
  <c r="C56" i="8"/>
  <c r="C54" i="8"/>
  <c r="C45" i="12" s="1"/>
  <c r="C53" i="8"/>
  <c r="L52" i="8"/>
  <c r="L14" i="16" s="1"/>
  <c r="L17" i="16" s="1"/>
  <c r="K52" i="8"/>
  <c r="K14" i="16" s="1"/>
  <c r="K17" i="16" s="1"/>
  <c r="J52" i="8"/>
  <c r="J14" i="16" s="1"/>
  <c r="J17" i="16" s="1"/>
  <c r="I52" i="8"/>
  <c r="I14" i="16" s="1"/>
  <c r="I17" i="16" s="1"/>
  <c r="H52" i="8"/>
  <c r="H14" i="16" s="1"/>
  <c r="H17" i="16" s="1"/>
  <c r="G52" i="8"/>
  <c r="G14" i="16" s="1"/>
  <c r="G17" i="16" s="1"/>
  <c r="F52" i="8"/>
  <c r="F14" i="16" s="1"/>
  <c r="F17" i="16" s="1"/>
  <c r="E52" i="8"/>
  <c r="E14" i="16" s="1"/>
  <c r="E17" i="16" s="1"/>
  <c r="D52" i="8"/>
  <c r="D14" i="16" s="1"/>
  <c r="D17" i="16" s="1"/>
  <c r="C52" i="8"/>
  <c r="C14" i="16" s="1"/>
  <c r="C17" i="16" s="1"/>
  <c r="M31" i="8"/>
  <c r="M25" i="8"/>
  <c r="M22" i="8"/>
  <c r="M16" i="8"/>
  <c r="F31" i="8"/>
  <c r="F8" i="16" s="1"/>
  <c r="L31" i="8"/>
  <c r="L8" i="16" s="1"/>
  <c r="K31" i="8"/>
  <c r="K8" i="16" s="1"/>
  <c r="J31" i="8"/>
  <c r="J8" i="16" s="1"/>
  <c r="I31" i="8"/>
  <c r="I8" i="16" s="1"/>
  <c r="H31" i="8"/>
  <c r="H8" i="16" s="1"/>
  <c r="G31" i="8"/>
  <c r="G8" i="16" s="1"/>
  <c r="E31" i="8"/>
  <c r="E8" i="16" s="1"/>
  <c r="D31" i="8"/>
  <c r="D8" i="16" s="1"/>
  <c r="C31" i="8"/>
  <c r="C8" i="16" s="1"/>
  <c r="L25" i="8"/>
  <c r="I29" i="25" s="1"/>
  <c r="K25" i="8"/>
  <c r="J25" i="8"/>
  <c r="I25" i="8"/>
  <c r="H25" i="8"/>
  <c r="G25" i="8"/>
  <c r="F25" i="8"/>
  <c r="E25" i="8"/>
  <c r="C28" i="25" s="1"/>
  <c r="D25" i="8"/>
  <c r="C25" i="8"/>
  <c r="L22" i="8"/>
  <c r="K22" i="8"/>
  <c r="J22" i="8"/>
  <c r="I22" i="8"/>
  <c r="H22" i="8"/>
  <c r="G22" i="8"/>
  <c r="F22" i="8"/>
  <c r="E22" i="8"/>
  <c r="D22" i="8"/>
  <c r="C22" i="8"/>
  <c r="L16" i="8"/>
  <c r="K16" i="8"/>
  <c r="J16" i="8"/>
  <c r="I16" i="8"/>
  <c r="H16" i="8"/>
  <c r="G16" i="8"/>
  <c r="F16" i="8"/>
  <c r="E16" i="8"/>
  <c r="D16" i="8"/>
  <c r="C16" i="8"/>
  <c r="M7" i="8"/>
  <c r="M10" i="8"/>
  <c r="D10" i="8"/>
  <c r="E10" i="8"/>
  <c r="F10" i="8"/>
  <c r="G10" i="8"/>
  <c r="H10" i="8"/>
  <c r="I10" i="8"/>
  <c r="J10" i="8"/>
  <c r="K10" i="8"/>
  <c r="L10" i="8"/>
  <c r="D7" i="8"/>
  <c r="E7" i="8"/>
  <c r="F7" i="8"/>
  <c r="G7" i="8"/>
  <c r="H7" i="8"/>
  <c r="I7" i="8"/>
  <c r="J7" i="8"/>
  <c r="K7" i="8"/>
  <c r="L7" i="8"/>
  <c r="C7" i="8"/>
  <c r="L4" i="8"/>
  <c r="C4" i="8"/>
  <c r="K4" i="8"/>
  <c r="D4" i="8"/>
  <c r="E4" i="8"/>
  <c r="F4" i="8"/>
  <c r="G4" i="8"/>
  <c r="H4" i="8"/>
  <c r="I4" i="8"/>
  <c r="J4" i="8"/>
  <c r="C6" i="3"/>
  <c r="D6" i="3"/>
  <c r="E6" i="3"/>
  <c r="F6" i="3"/>
  <c r="G6" i="3"/>
  <c r="H6" i="3"/>
  <c r="I6" i="3"/>
  <c r="J6" i="3"/>
  <c r="K6" i="3"/>
  <c r="B6" i="3"/>
  <c r="C5" i="1"/>
  <c r="D5" i="1"/>
  <c r="E5" i="1"/>
  <c r="F5" i="1"/>
  <c r="G5" i="1"/>
  <c r="H5" i="1"/>
  <c r="I5" i="1"/>
  <c r="J5" i="1"/>
  <c r="K5" i="1"/>
  <c r="B5" i="1"/>
  <c r="B6" i="6"/>
  <c r="E28" i="17" s="1"/>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D14" i="3" s="1"/>
  <c r="E4" i="3"/>
  <c r="F4" i="3"/>
  <c r="F14" i="3" s="1"/>
  <c r="G4" i="3"/>
  <c r="H4" i="3"/>
  <c r="H14" i="3" s="1"/>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J6" i="1" s="1"/>
  <c r="J19" i="1" s="1"/>
  <c r="K4" i="1"/>
  <c r="K6" i="1" s="1"/>
  <c r="K19" i="1" s="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G13" i="1" s="1"/>
  <c r="H12" i="1"/>
  <c r="I12" i="1"/>
  <c r="J12" i="1"/>
  <c r="J13" i="1" s="1"/>
  <c r="K12" i="1"/>
  <c r="K13" i="1" s="1"/>
  <c r="C15" i="1"/>
  <c r="D15" i="1"/>
  <c r="E15" i="1"/>
  <c r="F15" i="1"/>
  <c r="G15" i="1"/>
  <c r="H15" i="1"/>
  <c r="I15" i="1"/>
  <c r="J15" i="1"/>
  <c r="K15" i="1"/>
  <c r="B15" i="1"/>
  <c r="H13" i="1"/>
  <c r="B7" i="1"/>
  <c r="B4" i="1"/>
  <c r="B20" i="2" s="1"/>
  <c r="A1" i="1"/>
  <c r="A1" i="2" s="1"/>
  <c r="A1" i="4" s="1"/>
  <c r="H1" i="1"/>
  <c r="E1" i="2"/>
  <c r="E1" i="3"/>
  <c r="K23" i="2"/>
  <c r="C16" i="2"/>
  <c r="D23" i="2"/>
  <c r="D6" i="1"/>
  <c r="D19"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H21" i="2"/>
  <c r="D21" i="2"/>
  <c r="B18" i="2"/>
  <c r="B13" i="2"/>
  <c r="B12" i="2"/>
  <c r="B11" i="2"/>
  <c r="B10" i="2"/>
  <c r="B8" i="2"/>
  <c r="B7" i="2"/>
  <c r="B6" i="2"/>
  <c r="B3" i="2"/>
  <c r="J14" i="3"/>
  <c r="B12" i="3"/>
  <c r="B11" i="3"/>
  <c r="B10" i="3"/>
  <c r="B9" i="3"/>
  <c r="B8" i="3"/>
  <c r="B7" i="3"/>
  <c r="B4" i="3"/>
  <c r="B14" i="3" s="1"/>
  <c r="B3" i="3"/>
  <c r="L15" i="1"/>
  <c r="B12" i="1"/>
  <c r="B13" i="1" s="1"/>
  <c r="B11" i="1"/>
  <c r="B10" i="1"/>
  <c r="B9" i="1"/>
  <c r="B8" i="1"/>
  <c r="B3" i="1"/>
  <c r="J20" i="2"/>
  <c r="L6" i="1"/>
  <c r="J23" i="1"/>
  <c r="C29" i="25" l="1"/>
  <c r="C30" i="25" s="1"/>
  <c r="D28" i="25"/>
  <c r="D29" i="25"/>
  <c r="E28" i="25"/>
  <c r="E29" i="25"/>
  <c r="F28" i="25"/>
  <c r="F29" i="25"/>
  <c r="G28" i="25"/>
  <c r="G29" i="25"/>
  <c r="H28" i="25"/>
  <c r="H29" i="25"/>
  <c r="I28" i="25"/>
  <c r="I30" i="25" s="1"/>
  <c r="L11" i="1"/>
  <c r="C23" i="2"/>
  <c r="G14" i="3"/>
  <c r="G6" i="1"/>
  <c r="G19" i="1" s="1"/>
  <c r="A1" i="3"/>
  <c r="J14" i="1"/>
  <c r="E14" i="3"/>
  <c r="H16" i="2"/>
  <c r="F16" i="2"/>
  <c r="J21" i="2"/>
  <c r="F21" i="2"/>
  <c r="K20" i="2"/>
  <c r="E20" i="2"/>
  <c r="I14" i="3"/>
  <c r="H23" i="1"/>
  <c r="B21" i="2"/>
  <c r="B6" i="1"/>
  <c r="B19" i="1" s="1"/>
  <c r="F14" i="1"/>
  <c r="K14" i="1"/>
  <c r="I23" i="2"/>
  <c r="E23" i="2"/>
  <c r="C14" i="1"/>
  <c r="I23" i="1"/>
  <c r="I6" i="1"/>
  <c r="I19" i="1" s="1"/>
  <c r="G20" i="2"/>
  <c r="E6" i="1"/>
  <c r="E19" i="1" s="1"/>
  <c r="C6" i="1"/>
  <c r="C19" i="1" s="1"/>
  <c r="L12" i="1"/>
  <c r="L13" i="1" s="1"/>
  <c r="L14" i="1" s="1"/>
  <c r="L25" i="1" s="1"/>
  <c r="L10" i="1"/>
  <c r="L7" i="1"/>
  <c r="L5" i="1"/>
  <c r="K16" i="2"/>
  <c r="E16" i="2"/>
  <c r="D16" i="2"/>
  <c r="J23" i="2"/>
  <c r="F23" i="2"/>
  <c r="K21" i="2"/>
  <c r="I21" i="2"/>
  <c r="G21" i="2"/>
  <c r="E21" i="2"/>
  <c r="C21" i="2"/>
  <c r="D20" i="2"/>
  <c r="C35" i="12"/>
  <c r="L33" i="12"/>
  <c r="J33" i="12"/>
  <c r="H33" i="12"/>
  <c r="F33" i="12"/>
  <c r="D33" i="12"/>
  <c r="D11" i="12"/>
  <c r="F11" i="12"/>
  <c r="H11" i="12"/>
  <c r="J11" i="12"/>
  <c r="L11" i="12"/>
  <c r="E26" i="16"/>
  <c r="G26" i="16"/>
  <c r="I26" i="16"/>
  <c r="K26" i="16"/>
  <c r="E27" i="16"/>
  <c r="G27" i="16"/>
  <c r="I27" i="16"/>
  <c r="K27" i="16"/>
  <c r="K34" i="12"/>
  <c r="K31" i="12"/>
  <c r="K38" i="12" s="1"/>
  <c r="K35" i="12"/>
  <c r="I34" i="12"/>
  <c r="I31" i="12"/>
  <c r="I35" i="12"/>
  <c r="G34" i="12"/>
  <c r="G31" i="12"/>
  <c r="G35" i="12"/>
  <c r="E34" i="12"/>
  <c r="E31" i="12"/>
  <c r="E35" i="12"/>
  <c r="E32" i="12"/>
  <c r="G32" i="12"/>
  <c r="G39" i="12" s="1"/>
  <c r="I32" i="12"/>
  <c r="K32" i="12"/>
  <c r="K39" i="12" s="1"/>
  <c r="L35" i="12"/>
  <c r="L34" i="12"/>
  <c r="L31" i="12"/>
  <c r="J35" i="12"/>
  <c r="J34" i="12"/>
  <c r="J31" i="12"/>
  <c r="J38" i="12" s="1"/>
  <c r="H35" i="12"/>
  <c r="H34" i="12"/>
  <c r="H31" i="12"/>
  <c r="F35" i="12"/>
  <c r="F34" i="12"/>
  <c r="F31" i="12"/>
  <c r="F38" i="12" s="1"/>
  <c r="D35" i="12"/>
  <c r="D34" i="12"/>
  <c r="D31" i="12"/>
  <c r="K33" i="12"/>
  <c r="I33" i="12"/>
  <c r="G33" i="12"/>
  <c r="G40" i="12" s="1"/>
  <c r="E33" i="12"/>
  <c r="D32" i="12"/>
  <c r="D39" i="12" s="1"/>
  <c r="F32" i="12"/>
  <c r="H32" i="12"/>
  <c r="H39" i="12" s="1"/>
  <c r="J32" i="12"/>
  <c r="L32" i="12"/>
  <c r="L39" i="12" s="1"/>
  <c r="C27" i="16"/>
  <c r="D26" i="16"/>
  <c r="F26" i="16"/>
  <c r="H26" i="16"/>
  <c r="J26" i="16"/>
  <c r="L26" i="16"/>
  <c r="D27" i="16"/>
  <c r="D28" i="16" s="1"/>
  <c r="F27" i="16"/>
  <c r="F28" i="16" s="1"/>
  <c r="H27" i="16"/>
  <c r="H28" i="16" s="1"/>
  <c r="J27" i="16"/>
  <c r="J28" i="16" s="1"/>
  <c r="L27" i="16"/>
  <c r="L28" i="16" s="1"/>
  <c r="N11" i="1"/>
  <c r="M11" i="1"/>
  <c r="G14" i="1"/>
  <c r="L40" i="12"/>
  <c r="L7" i="12"/>
  <c r="L38" i="12"/>
  <c r="L41" i="12" s="1"/>
  <c r="L43" i="12"/>
  <c r="J40" i="12"/>
  <c r="J39" i="12"/>
  <c r="J7" i="12"/>
  <c r="J43" i="12"/>
  <c r="H40" i="12"/>
  <c r="H7" i="12"/>
  <c r="H38" i="12"/>
  <c r="H41" i="12" s="1"/>
  <c r="H43" i="12"/>
  <c r="F40" i="12"/>
  <c r="F39" i="12"/>
  <c r="F7" i="12"/>
  <c r="F43" i="12"/>
  <c r="D38" i="12"/>
  <c r="D40" i="12"/>
  <c r="D7" i="12"/>
  <c r="D43" i="12"/>
  <c r="D26" i="8"/>
  <c r="D22" i="12" s="1"/>
  <c r="F26" i="8"/>
  <c r="F22" i="12" s="1"/>
  <c r="H26" i="8"/>
  <c r="H22" i="12" s="1"/>
  <c r="J26" i="8"/>
  <c r="J22" i="12" s="1"/>
  <c r="L26" i="8"/>
  <c r="L22" i="12" s="1"/>
  <c r="O45" i="12"/>
  <c r="P45" i="12"/>
  <c r="L4" i="1"/>
  <c r="L23" i="1" s="1"/>
  <c r="C20" i="2"/>
  <c r="G23" i="2"/>
  <c r="H23" i="2"/>
  <c r="C13" i="8"/>
  <c r="C43" i="12"/>
  <c r="K13" i="8"/>
  <c r="K14" i="8" s="1"/>
  <c r="K40" i="12"/>
  <c r="K7" i="12"/>
  <c r="K43" i="12"/>
  <c r="I13" i="8"/>
  <c r="I14" i="8" s="1"/>
  <c r="I40" i="12"/>
  <c r="I38" i="12"/>
  <c r="I7" i="12"/>
  <c r="I39" i="12"/>
  <c r="I43" i="12"/>
  <c r="G13" i="8"/>
  <c r="G14" i="8" s="1"/>
  <c r="G38" i="12"/>
  <c r="G41" i="12" s="1"/>
  <c r="G7" i="12"/>
  <c r="G43" i="12"/>
  <c r="E13" i="8"/>
  <c r="E14" i="8" s="1"/>
  <c r="E40" i="12"/>
  <c r="E38" i="12"/>
  <c r="E7" i="12"/>
  <c r="E39" i="12"/>
  <c r="E43" i="12"/>
  <c r="E11" i="12"/>
  <c r="G11" i="12"/>
  <c r="I11" i="12"/>
  <c r="K11" i="12"/>
  <c r="C26" i="8"/>
  <c r="C22" i="12" s="1"/>
  <c r="E26" i="8"/>
  <c r="E22" i="12" s="1"/>
  <c r="G26" i="8"/>
  <c r="G22" i="12" s="1"/>
  <c r="I26" i="8"/>
  <c r="I22" i="12" s="1"/>
  <c r="K26" i="8"/>
  <c r="K22" i="12" s="1"/>
  <c r="M26" i="8"/>
  <c r="C62" i="8"/>
  <c r="C69" i="8" s="1"/>
  <c r="D62" i="8"/>
  <c r="D69" i="8" s="1"/>
  <c r="D44" i="12" s="1"/>
  <c r="F62" i="8"/>
  <c r="F69" i="8" s="1"/>
  <c r="H62" i="8"/>
  <c r="H69" i="8" s="1"/>
  <c r="J62" i="8"/>
  <c r="J69" i="8" s="1"/>
  <c r="L62" i="8"/>
  <c r="L69" i="8" s="1"/>
  <c r="E62" i="8"/>
  <c r="E69" i="8" s="1"/>
  <c r="C19" i="25" s="1"/>
  <c r="G62" i="8"/>
  <c r="I62" i="8"/>
  <c r="I69" i="8" s="1"/>
  <c r="K62" i="8"/>
  <c r="K69" i="8" s="1"/>
  <c r="G69" i="8"/>
  <c r="C23" i="8"/>
  <c r="E23" i="8"/>
  <c r="G23" i="8"/>
  <c r="I23" i="8"/>
  <c r="K23" i="8"/>
  <c r="M13" i="8"/>
  <c r="M14" i="8" s="1"/>
  <c r="D17" i="8"/>
  <c r="F17" i="8"/>
  <c r="H17" i="8"/>
  <c r="J17" i="8"/>
  <c r="L17" i="8"/>
  <c r="I33" i="25" s="1"/>
  <c r="M17" i="8"/>
  <c r="C17" i="8"/>
  <c r="E17" i="8"/>
  <c r="C34" i="25" s="1"/>
  <c r="G17" i="8"/>
  <c r="I17" i="8"/>
  <c r="K17" i="8"/>
  <c r="D23" i="8"/>
  <c r="F23" i="8"/>
  <c r="H23" i="8"/>
  <c r="J23" i="8"/>
  <c r="L23" i="8"/>
  <c r="M23" i="8"/>
  <c r="M11" i="8"/>
  <c r="C11" i="8"/>
  <c r="K11" i="8"/>
  <c r="I11" i="8"/>
  <c r="G11" i="8"/>
  <c r="E11" i="8"/>
  <c r="L8" i="8"/>
  <c r="I23" i="25" s="1"/>
  <c r="J8" i="8"/>
  <c r="H8" i="8"/>
  <c r="F8" i="8"/>
  <c r="D8" i="8"/>
  <c r="L11" i="8"/>
  <c r="J11" i="8"/>
  <c r="H11" i="8"/>
  <c r="F11" i="8"/>
  <c r="D11" i="8"/>
  <c r="M8" i="8"/>
  <c r="E8" i="8"/>
  <c r="C24" i="25" s="1"/>
  <c r="G8" i="8"/>
  <c r="I8" i="8"/>
  <c r="D13" i="8"/>
  <c r="F13" i="8"/>
  <c r="H13" i="8"/>
  <c r="J13" i="8"/>
  <c r="L13" i="8"/>
  <c r="K8" i="8"/>
  <c r="B16" i="2"/>
  <c r="B23" i="2"/>
  <c r="I13" i="1"/>
  <c r="B14" i="1"/>
  <c r="H14" i="1"/>
  <c r="F20" i="2"/>
  <c r="K14" i="3"/>
  <c r="C14" i="3"/>
  <c r="J16" i="2"/>
  <c r="I16" i="2"/>
  <c r="G16" i="2"/>
  <c r="K24" i="2"/>
  <c r="I24" i="2"/>
  <c r="G24" i="2"/>
  <c r="E24" i="2"/>
  <c r="D13" i="1"/>
  <c r="E13" i="1" s="1"/>
  <c r="I14" i="1"/>
  <c r="K25" i="1" s="1"/>
  <c r="M25" i="1" s="1"/>
  <c r="M14" i="1" s="1"/>
  <c r="E14" i="1"/>
  <c r="K24" i="1"/>
  <c r="L9" i="1"/>
  <c r="L8" i="1"/>
  <c r="M8" i="1" s="1"/>
  <c r="C24" i="2"/>
  <c r="J24" i="2"/>
  <c r="H24" i="2"/>
  <c r="F24" i="2"/>
  <c r="D24" i="2"/>
  <c r="J25" i="1"/>
  <c r="M9" i="1"/>
  <c r="N9" i="1"/>
  <c r="I25" i="1"/>
  <c r="I20" i="2"/>
  <c r="H20" i="2"/>
  <c r="K23" i="1"/>
  <c r="M23" i="1" s="1"/>
  <c r="M4" i="1" s="1"/>
  <c r="H6" i="1"/>
  <c r="H19" i="1" s="1"/>
  <c r="J24" i="1" s="1"/>
  <c r="F6" i="1"/>
  <c r="F19" i="1" s="1"/>
  <c r="E1" i="4"/>
  <c r="H23" i="25" l="1"/>
  <c r="I24" i="25"/>
  <c r="F23" i="25"/>
  <c r="G24" i="25"/>
  <c r="D23" i="25"/>
  <c r="E24" i="25"/>
  <c r="C23" i="25"/>
  <c r="C25" i="25" s="1"/>
  <c r="D24" i="25"/>
  <c r="E23" i="25"/>
  <c r="E25" i="25" s="1"/>
  <c r="F24" i="25"/>
  <c r="G23" i="25"/>
  <c r="G25" i="25" s="1"/>
  <c r="H24" i="25"/>
  <c r="I25" i="25"/>
  <c r="I34" i="25"/>
  <c r="H33" i="25"/>
  <c r="G34" i="25"/>
  <c r="F33" i="25"/>
  <c r="E34" i="25"/>
  <c r="D33" i="25"/>
  <c r="I35" i="25"/>
  <c r="H34" i="25"/>
  <c r="G33" i="25"/>
  <c r="G35" i="25" s="1"/>
  <c r="F34" i="25"/>
  <c r="E33" i="25"/>
  <c r="E35" i="25" s="1"/>
  <c r="D34" i="25"/>
  <c r="C33" i="25"/>
  <c r="C35" i="25" s="1"/>
  <c r="D40" i="25"/>
  <c r="D18" i="25"/>
  <c r="E19" i="25"/>
  <c r="H40" i="25"/>
  <c r="H18" i="25"/>
  <c r="I19" i="25"/>
  <c r="F40" i="25"/>
  <c r="F18" i="25"/>
  <c r="G19" i="25"/>
  <c r="L44" i="12"/>
  <c r="I40" i="25"/>
  <c r="I18" i="25"/>
  <c r="I20" i="25" s="1"/>
  <c r="J44" i="12"/>
  <c r="G40" i="25"/>
  <c r="G18" i="25"/>
  <c r="G20" i="25" s="1"/>
  <c r="H19" i="25"/>
  <c r="H44" i="12"/>
  <c r="E40" i="25"/>
  <c r="E18" i="25"/>
  <c r="E20" i="25" s="1"/>
  <c r="F19" i="25"/>
  <c r="F44" i="12"/>
  <c r="C40" i="25"/>
  <c r="C18" i="25"/>
  <c r="C20" i="25" s="1"/>
  <c r="D19" i="25"/>
  <c r="E14" i="12"/>
  <c r="C13" i="25"/>
  <c r="G14" i="12"/>
  <c r="D14" i="25"/>
  <c r="E13" i="25"/>
  <c r="I14" i="12"/>
  <c r="F14" i="25"/>
  <c r="G13" i="25"/>
  <c r="K14" i="12"/>
  <c r="H14" i="25"/>
  <c r="I13" i="25"/>
  <c r="H30" i="25"/>
  <c r="G30" i="25"/>
  <c r="F30" i="25"/>
  <c r="E30" i="25"/>
  <c r="D30" i="25"/>
  <c r="H24" i="1"/>
  <c r="E41" i="12"/>
  <c r="I41" i="12"/>
  <c r="F41" i="12"/>
  <c r="J41" i="12"/>
  <c r="K41" i="12"/>
  <c r="D41" i="12"/>
  <c r="P39" i="12"/>
  <c r="P38" i="12"/>
  <c r="O40" i="12"/>
  <c r="O39" i="12"/>
  <c r="P40" i="12"/>
  <c r="O38" i="12"/>
  <c r="H71" i="8"/>
  <c r="E28" i="16"/>
  <c r="E29" i="16" s="1"/>
  <c r="L71" i="8"/>
  <c r="D71" i="8"/>
  <c r="L29" i="16"/>
  <c r="H29" i="16"/>
  <c r="D29" i="16"/>
  <c r="I28" i="16"/>
  <c r="I29" i="16" s="1"/>
  <c r="O11" i="12"/>
  <c r="J29" i="16"/>
  <c r="F29" i="16"/>
  <c r="K28" i="16"/>
  <c r="K29" i="16" s="1"/>
  <c r="G28" i="16"/>
  <c r="G29" i="16" s="1"/>
  <c r="E71" i="8"/>
  <c r="E44" i="12"/>
  <c r="K21" i="12"/>
  <c r="G21" i="12"/>
  <c r="C21" i="12"/>
  <c r="J21" i="12"/>
  <c r="F21" i="12"/>
  <c r="I71" i="8"/>
  <c r="I44" i="12"/>
  <c r="C71" i="8"/>
  <c r="C44" i="12"/>
  <c r="O43" i="12"/>
  <c r="P43" i="12"/>
  <c r="P32" i="12"/>
  <c r="O32" i="12"/>
  <c r="P33" i="12"/>
  <c r="O33" i="12"/>
  <c r="C19" i="8"/>
  <c r="P11" i="12"/>
  <c r="N8" i="1"/>
  <c r="L19" i="1"/>
  <c r="L24" i="1" s="1"/>
  <c r="M24" i="1" s="1"/>
  <c r="M6" i="1" s="1"/>
  <c r="M10" i="1" s="1"/>
  <c r="M12" i="1" s="1"/>
  <c r="M13" i="1" s="1"/>
  <c r="M15" i="1" s="1"/>
  <c r="C14" i="8"/>
  <c r="C14" i="12" s="1"/>
  <c r="I21" i="12"/>
  <c r="E21" i="12"/>
  <c r="L21" i="12"/>
  <c r="H21" i="12"/>
  <c r="D21" i="12"/>
  <c r="J71" i="8"/>
  <c r="F71" i="8"/>
  <c r="G71" i="8"/>
  <c r="G44" i="12"/>
  <c r="K71" i="8"/>
  <c r="K44" i="12"/>
  <c r="P22" i="12"/>
  <c r="O22" i="12"/>
  <c r="E19" i="8"/>
  <c r="G19" i="8"/>
  <c r="D38" i="25" s="1"/>
  <c r="D41" i="25" s="1"/>
  <c r="I19" i="8"/>
  <c r="F38" i="25" s="1"/>
  <c r="F41" i="25" s="1"/>
  <c r="K19" i="8"/>
  <c r="H38" i="25" s="1"/>
  <c r="H41" i="25" s="1"/>
  <c r="P34" i="12"/>
  <c r="O34" i="12"/>
  <c r="P31" i="12"/>
  <c r="O31" i="12"/>
  <c r="P35" i="12"/>
  <c r="O35" i="12"/>
  <c r="P7" i="12"/>
  <c r="O7" i="12"/>
  <c r="M19" i="8"/>
  <c r="M20" i="8" s="1"/>
  <c r="E41" i="15" s="1"/>
  <c r="F41" i="15" s="1"/>
  <c r="G41" i="15" s="1"/>
  <c r="H41" i="15" s="1"/>
  <c r="I41" i="15" s="1"/>
  <c r="J41" i="15" s="1"/>
  <c r="J14" i="8"/>
  <c r="J19" i="8"/>
  <c r="G38" i="25" s="1"/>
  <c r="G41" i="25" s="1"/>
  <c r="F14" i="8"/>
  <c r="F19" i="8"/>
  <c r="C38" i="25" s="1"/>
  <c r="C41" i="25" s="1"/>
  <c r="L14" i="8"/>
  <c r="L19" i="8"/>
  <c r="I38" i="25" s="1"/>
  <c r="I41" i="25" s="1"/>
  <c r="H14" i="8"/>
  <c r="H19" i="8"/>
  <c r="E38" i="25" s="1"/>
  <c r="E41" i="25" s="1"/>
  <c r="D14" i="8"/>
  <c r="D14" i="12" s="1"/>
  <c r="D19" i="8"/>
  <c r="N23" i="1"/>
  <c r="N4" i="1" s="1"/>
  <c r="D14" i="1"/>
  <c r="H25" i="1" s="1"/>
  <c r="N25" i="1" s="1"/>
  <c r="N14" i="1" s="1"/>
  <c r="I24" i="1"/>
  <c r="H14" i="12" l="1"/>
  <c r="E14" i="25"/>
  <c r="E15" i="25" s="1"/>
  <c r="E51" i="25" s="1"/>
  <c r="E53" i="25" s="1"/>
  <c r="F13" i="25"/>
  <c r="F15" i="25" s="1"/>
  <c r="L14" i="12"/>
  <c r="I14" i="25"/>
  <c r="I15" i="25" s="1"/>
  <c r="I51" i="25" s="1"/>
  <c r="I53" i="25" s="1"/>
  <c r="F14" i="12"/>
  <c r="C14" i="25"/>
  <c r="D13" i="25"/>
  <c r="D15" i="25" s="1"/>
  <c r="J14" i="12"/>
  <c r="G14" i="25"/>
  <c r="H13" i="25"/>
  <c r="H15" i="25" s="1"/>
  <c r="P41" i="12"/>
  <c r="G15" i="25"/>
  <c r="G51" i="25" s="1"/>
  <c r="G53" i="25" s="1"/>
  <c r="C15" i="25"/>
  <c r="C51" i="25" s="1"/>
  <c r="C53" i="25" s="1"/>
  <c r="F20" i="25"/>
  <c r="H20" i="25"/>
  <c r="D20" i="25"/>
  <c r="D35" i="25"/>
  <c r="F35" i="25"/>
  <c r="H35" i="25"/>
  <c r="D25" i="25"/>
  <c r="F25" i="25"/>
  <c r="H25" i="25"/>
  <c r="O41" i="12"/>
  <c r="K7" i="16"/>
  <c r="K9" i="16" s="1"/>
  <c r="K20" i="16" s="1"/>
  <c r="K15" i="12"/>
  <c r="K23" i="12" s="1"/>
  <c r="G7" i="16"/>
  <c r="G9" i="16" s="1"/>
  <c r="G20" i="16" s="1"/>
  <c r="G15" i="12"/>
  <c r="G23" i="12" s="1"/>
  <c r="D7" i="16"/>
  <c r="D9" i="16" s="1"/>
  <c r="D20" i="16" s="1"/>
  <c r="D15" i="12"/>
  <c r="D23" i="12" s="1"/>
  <c r="H7" i="16"/>
  <c r="H9" i="16" s="1"/>
  <c r="H20" i="16" s="1"/>
  <c r="H15" i="12"/>
  <c r="H23" i="12" s="1"/>
  <c r="L7" i="16"/>
  <c r="L9" i="16" s="1"/>
  <c r="L20" i="16" s="1"/>
  <c r="L15" i="12"/>
  <c r="L23" i="12" s="1"/>
  <c r="F7" i="16"/>
  <c r="F9" i="16" s="1"/>
  <c r="F20" i="16" s="1"/>
  <c r="F15" i="12"/>
  <c r="F23" i="12" s="1"/>
  <c r="J7" i="16"/>
  <c r="J9" i="16" s="1"/>
  <c r="J20" i="16" s="1"/>
  <c r="J15" i="12"/>
  <c r="J23" i="12" s="1"/>
  <c r="I7" i="16"/>
  <c r="I9" i="16" s="1"/>
  <c r="I20" i="16" s="1"/>
  <c r="I15" i="12"/>
  <c r="I23" i="12" s="1"/>
  <c r="E7" i="16"/>
  <c r="E9" i="16" s="1"/>
  <c r="E20" i="16" s="1"/>
  <c r="E15" i="12"/>
  <c r="E23" i="12" s="1"/>
  <c r="C7" i="16"/>
  <c r="C9" i="16" s="1"/>
  <c r="C20" i="16" s="1"/>
  <c r="C15" i="12"/>
  <c r="G32" i="16"/>
  <c r="G37" i="16" s="1"/>
  <c r="D32" i="16"/>
  <c r="I32" i="16"/>
  <c r="I37" i="16" s="1"/>
  <c r="K32" i="16"/>
  <c r="K37" i="16" s="1"/>
  <c r="J32" i="16"/>
  <c r="J37" i="16" s="1"/>
  <c r="H9" i="12"/>
  <c r="H8" i="12"/>
  <c r="H29" i="12"/>
  <c r="H25" i="12"/>
  <c r="L9" i="12"/>
  <c r="L8" i="12"/>
  <c r="L29" i="12"/>
  <c r="L25" i="12"/>
  <c r="J8" i="12"/>
  <c r="J9" i="12"/>
  <c r="J29" i="12"/>
  <c r="J25" i="12"/>
  <c r="K9" i="12"/>
  <c r="K29" i="12"/>
  <c r="K25" i="12"/>
  <c r="K8" i="12"/>
  <c r="K20" i="8"/>
  <c r="K16" i="12" s="1"/>
  <c r="K28" i="8"/>
  <c r="G9" i="12"/>
  <c r="G29" i="12"/>
  <c r="G25" i="12"/>
  <c r="G8" i="12"/>
  <c r="G20" i="8"/>
  <c r="G16" i="12" s="1"/>
  <c r="G28" i="8"/>
  <c r="E9" i="12"/>
  <c r="E29" i="12"/>
  <c r="E25" i="12"/>
  <c r="E8" i="12"/>
  <c r="E28" i="8"/>
  <c r="E20" i="8"/>
  <c r="E16" i="12" s="1"/>
  <c r="C29" i="12"/>
  <c r="C25" i="12"/>
  <c r="C28" i="8"/>
  <c r="C20" i="8"/>
  <c r="C16" i="12" s="1"/>
  <c r="P21" i="12"/>
  <c r="O21" i="12"/>
  <c r="D9" i="12"/>
  <c r="D8" i="12"/>
  <c r="D29" i="12"/>
  <c r="D25" i="12"/>
  <c r="F8" i="12"/>
  <c r="F9" i="12"/>
  <c r="F29" i="12"/>
  <c r="F25" i="12"/>
  <c r="I9" i="12"/>
  <c r="I29" i="12"/>
  <c r="I25" i="12"/>
  <c r="I8" i="12"/>
  <c r="I28" i="8"/>
  <c r="I20" i="8"/>
  <c r="I16" i="12" s="1"/>
  <c r="N24" i="1"/>
  <c r="N6" i="1" s="1"/>
  <c r="N5" i="1" s="1"/>
  <c r="P14" i="12"/>
  <c r="O14" i="12"/>
  <c r="P44" i="12"/>
  <c r="O44" i="12"/>
  <c r="M28" i="8"/>
  <c r="D28" i="8"/>
  <c r="D20" i="8"/>
  <c r="D16" i="12" s="1"/>
  <c r="H28" i="8"/>
  <c r="H20" i="8"/>
  <c r="H16" i="12" s="1"/>
  <c r="L28" i="8"/>
  <c r="L20" i="8"/>
  <c r="L16" i="12" s="1"/>
  <c r="F28" i="8"/>
  <c r="F20" i="8"/>
  <c r="F16" i="12" s="1"/>
  <c r="J28" i="8"/>
  <c r="J20" i="8"/>
  <c r="J16" i="12" s="1"/>
  <c r="N10" i="1"/>
  <c r="N12" i="1" s="1"/>
  <c r="N13" i="1" s="1"/>
  <c r="N15" i="1" s="1"/>
  <c r="M5" i="1"/>
  <c r="H51" i="25" l="1"/>
  <c r="H53" i="25" s="1"/>
  <c r="D51" i="25"/>
  <c r="D53" i="25" s="1"/>
  <c r="F51" i="25"/>
  <c r="F53" i="25" s="1"/>
  <c r="E32" i="16"/>
  <c r="E37" i="16" s="1"/>
  <c r="H32" i="16"/>
  <c r="H37" i="16" s="1"/>
  <c r="L32" i="16"/>
  <c r="L37" i="16" s="1"/>
  <c r="F32" i="16"/>
  <c r="F37" i="16" s="1"/>
  <c r="D37" i="16"/>
  <c r="P8" i="12"/>
  <c r="O8" i="12"/>
  <c r="P15" i="12"/>
  <c r="O15" i="12"/>
  <c r="C23" i="12"/>
  <c r="P25" i="12"/>
  <c r="O25" i="12"/>
  <c r="G34" i="8"/>
  <c r="G32" i="8"/>
  <c r="G29" i="8"/>
  <c r="G17" i="12" s="1"/>
  <c r="K34" i="8"/>
  <c r="K32" i="8"/>
  <c r="K29" i="8"/>
  <c r="K17" i="12" s="1"/>
  <c r="I34" i="8"/>
  <c r="I32" i="8"/>
  <c r="I29" i="8"/>
  <c r="I17" i="12" s="1"/>
  <c r="P9" i="12"/>
  <c r="O9" i="12"/>
  <c r="C34" i="8"/>
  <c r="C32" i="8"/>
  <c r="C29" i="8"/>
  <c r="C17" i="12" s="1"/>
  <c r="O16" i="12"/>
  <c r="P16" i="12"/>
  <c r="P29" i="12"/>
  <c r="O29" i="12"/>
  <c r="E32" i="8"/>
  <c r="E29" i="8"/>
  <c r="E17" i="12" s="1"/>
  <c r="E34" i="8"/>
  <c r="M34" i="8"/>
  <c r="M35" i="8" s="1"/>
  <c r="M32" i="8"/>
  <c r="J32" i="8"/>
  <c r="J34" i="8"/>
  <c r="J29" i="8"/>
  <c r="J17" i="12" s="1"/>
  <c r="F32" i="8"/>
  <c r="F34" i="8"/>
  <c r="F29" i="8"/>
  <c r="F17" i="12" s="1"/>
  <c r="L34" i="8"/>
  <c r="L29" i="8"/>
  <c r="L17" i="12" s="1"/>
  <c r="L32" i="8"/>
  <c r="H34" i="8"/>
  <c r="H29" i="8"/>
  <c r="H17" i="12" s="1"/>
  <c r="H32" i="8"/>
  <c r="D34" i="8"/>
  <c r="D29" i="8"/>
  <c r="D17" i="12" s="1"/>
  <c r="D32" i="8"/>
  <c r="D39" i="16" l="1"/>
  <c r="F18" i="15" s="1"/>
  <c r="E32" i="15" s="1"/>
  <c r="E33" i="15" s="1"/>
  <c r="D33" i="16"/>
  <c r="D38" i="16"/>
  <c r="P17" i="12"/>
  <c r="O17" i="12"/>
  <c r="E34" i="15"/>
  <c r="D10" i="12"/>
  <c r="D27" i="12"/>
  <c r="F10" i="12"/>
  <c r="F27" i="12"/>
  <c r="C27" i="12"/>
  <c r="C39" i="8"/>
  <c r="C35" i="8"/>
  <c r="C18" i="12" s="1"/>
  <c r="H10" i="12"/>
  <c r="H27" i="12"/>
  <c r="J10" i="12"/>
  <c r="J27" i="12"/>
  <c r="E27" i="12"/>
  <c r="E10" i="12"/>
  <c r="E39" i="8"/>
  <c r="E35" i="8"/>
  <c r="E18" i="12" s="1"/>
  <c r="I27" i="12"/>
  <c r="I10" i="12"/>
  <c r="I39" i="8"/>
  <c r="I35" i="8"/>
  <c r="I18" i="12" s="1"/>
  <c r="G27" i="12"/>
  <c r="G10" i="12"/>
  <c r="G39" i="8"/>
  <c r="G35" i="8"/>
  <c r="G18" i="12" s="1"/>
  <c r="L10" i="12"/>
  <c r="L27" i="12"/>
  <c r="K27" i="12"/>
  <c r="K10" i="12"/>
  <c r="K39" i="8"/>
  <c r="K35" i="8"/>
  <c r="K18" i="12" s="1"/>
  <c r="P23" i="12"/>
  <c r="O23" i="12"/>
  <c r="H35" i="8"/>
  <c r="H18" i="12" s="1"/>
  <c r="H39" i="8"/>
  <c r="J35" i="8"/>
  <c r="J18" i="12" s="1"/>
  <c r="J39" i="8"/>
  <c r="D35" i="8"/>
  <c r="D18" i="12" s="1"/>
  <c r="D39" i="8"/>
  <c r="L35" i="8"/>
  <c r="L18" i="12" s="1"/>
  <c r="L39" i="8"/>
  <c r="F35" i="8"/>
  <c r="F18" i="12" s="1"/>
  <c r="F39" i="8"/>
  <c r="F32" i="15" l="1"/>
  <c r="F34" i="15" s="1"/>
  <c r="F43" i="8"/>
  <c r="F45" i="8" s="1"/>
  <c r="F26" i="12" s="1"/>
  <c r="F28" i="12" s="1"/>
  <c r="L43" i="8"/>
  <c r="L45" i="8" s="1"/>
  <c r="L26" i="12" s="1"/>
  <c r="L28" i="12" s="1"/>
  <c r="D43" i="8"/>
  <c r="D45" i="8" s="1"/>
  <c r="D26" i="12" s="1"/>
  <c r="J43" i="8"/>
  <c r="J45" i="8" s="1"/>
  <c r="J26" i="12" s="1"/>
  <c r="H43" i="8"/>
  <c r="H45" i="8" s="1"/>
  <c r="H26" i="12" s="1"/>
  <c r="H28" i="12" s="1"/>
  <c r="O18" i="12"/>
  <c r="P18" i="12"/>
  <c r="K43" i="8"/>
  <c r="K45" i="8" s="1"/>
  <c r="K26" i="12" s="1"/>
  <c r="K28" i="12" s="1"/>
  <c r="G43" i="8"/>
  <c r="G45" i="8" s="1"/>
  <c r="G26" i="12" s="1"/>
  <c r="G28" i="12" s="1"/>
  <c r="I43" i="8"/>
  <c r="I45" i="8" s="1"/>
  <c r="I26" i="12" s="1"/>
  <c r="I28" i="12" s="1"/>
  <c r="E43" i="8"/>
  <c r="E45" i="8" s="1"/>
  <c r="E26" i="12" s="1"/>
  <c r="E28" i="12" s="1"/>
  <c r="C43" i="8"/>
  <c r="C45" i="8" s="1"/>
  <c r="C26" i="12" s="1"/>
  <c r="C28" i="12" s="1"/>
  <c r="F33" i="15"/>
  <c r="P27" i="12"/>
  <c r="O27" i="12"/>
  <c r="O10" i="12"/>
  <c r="P10" i="12"/>
  <c r="F40" i="8"/>
  <c r="G40" i="8"/>
  <c r="L40" i="8"/>
  <c r="D40" i="8"/>
  <c r="E40" i="8"/>
  <c r="J40" i="8"/>
  <c r="K40" i="8"/>
  <c r="H40" i="8"/>
  <c r="I40" i="8"/>
  <c r="G32" i="15" l="1"/>
  <c r="G34" i="15" s="1"/>
  <c r="O26" i="12"/>
  <c r="P26" i="12"/>
  <c r="D28" i="12"/>
  <c r="J28" i="12"/>
  <c r="H32" i="15" l="1"/>
  <c r="G33" i="15"/>
  <c r="I32" i="15"/>
  <c r="H33" i="15"/>
  <c r="H34" i="15"/>
  <c r="P28" i="12"/>
  <c r="O28" i="12"/>
  <c r="J32" i="15" l="1"/>
  <c r="I33" i="15"/>
  <c r="I34" i="15"/>
  <c r="J34" i="15" l="1"/>
  <c r="J33" i="15"/>
  <c r="E29" i="15" s="1" a="1"/>
  <c r="F29" i="15" l="1"/>
  <c r="H29" i="15"/>
  <c r="J29" i="15"/>
  <c r="G29" i="15"/>
  <c r="I29" i="15"/>
  <c r="E29" i="15"/>
  <c r="E30" i="15" s="1"/>
  <c r="F30" i="15" l="1"/>
  <c r="E40" i="15"/>
  <c r="E43" i="15" l="1"/>
  <c r="E47" i="15" s="1"/>
  <c r="E42" i="15"/>
  <c r="G30" i="15"/>
  <c r="F40" i="15"/>
  <c r="E44" i="15" l="1"/>
  <c r="E45" i="15" s="1"/>
  <c r="E46" i="15" s="1"/>
  <c r="F43" i="15"/>
  <c r="F47" i="15" s="1"/>
  <c r="F42" i="15"/>
  <c r="H30" i="15"/>
  <c r="G40" i="15"/>
  <c r="E48" i="15" l="1"/>
  <c r="E49" i="15" s="1"/>
  <c r="E15" i="17" s="1"/>
  <c r="E17" i="17" s="1"/>
  <c r="F44" i="15"/>
  <c r="F45" i="15" s="1"/>
  <c r="F46" i="15" s="1"/>
  <c r="G43" i="15"/>
  <c r="G47" i="15" s="1"/>
  <c r="G42" i="15"/>
  <c r="I30" i="15"/>
  <c r="H40" i="15"/>
  <c r="F48" i="15" l="1"/>
  <c r="F49" i="15" s="1"/>
  <c r="F15" i="17" s="1"/>
  <c r="F17" i="17" s="1"/>
  <c r="G44" i="15"/>
  <c r="G45" i="15" s="1"/>
  <c r="G46" i="15" s="1"/>
  <c r="H43" i="15"/>
  <c r="H47" i="15" s="1"/>
  <c r="H42" i="15"/>
  <c r="J30" i="15"/>
  <c r="J40" i="15" s="1"/>
  <c r="I40" i="15"/>
  <c r="G48" i="15" l="1"/>
  <c r="G49" i="15" s="1"/>
  <c r="G15" i="17" s="1"/>
  <c r="G17" i="17" s="1"/>
  <c r="H44" i="15"/>
  <c r="H45" i="15" s="1"/>
  <c r="H46" i="15" s="1"/>
  <c r="I43" i="15"/>
  <c r="I47" i="15" s="1"/>
  <c r="I42" i="15"/>
  <c r="J43" i="15"/>
  <c r="J47" i="15" s="1"/>
  <c r="J42" i="15"/>
  <c r="H48" i="15" l="1"/>
  <c r="H49" i="15" s="1"/>
  <c r="H15" i="17" s="1"/>
  <c r="H17" i="17" s="1"/>
  <c r="J44" i="15"/>
  <c r="J45" i="15" s="1"/>
  <c r="J46" i="15" s="1"/>
  <c r="I44" i="15"/>
  <c r="I45" i="15" s="1"/>
  <c r="I46" i="15" s="1"/>
  <c r="I48" i="15" l="1"/>
  <c r="I49" i="15" s="1"/>
  <c r="I15" i="17" s="1"/>
  <c r="I17" i="17" s="1"/>
  <c r="J48" i="15"/>
  <c r="J49" i="15" s="1"/>
  <c r="J15" i="17" l="1"/>
  <c r="J17" i="17" s="1"/>
  <c r="E6" i="17"/>
  <c r="E9" i="17" s="1"/>
  <c r="L15" i="17" s="1"/>
  <c r="L17" i="17" s="1"/>
  <c r="E21" i="17"/>
  <c r="E22" i="17" l="1"/>
  <c r="L21" i="17" l="1"/>
  <c r="L24" i="17" s="1"/>
  <c r="E27" i="17" s="1"/>
  <c r="E29" i="17" s="1"/>
  <c r="E23" i="17"/>
  <c r="B42" i="17" l="1"/>
</calcChain>
</file>

<file path=xl/sharedStrings.xml><?xml version="1.0" encoding="utf-8"?>
<sst xmlns="http://schemas.openxmlformats.org/spreadsheetml/2006/main" count="542" uniqueCount="390">
  <si>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</si>
  <si>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</si>
  <si>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</si>
  <si>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</si>
  <si>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</si>
  <si>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</si>
  <si>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</si>
  <si>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</si>
  <si>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</si>
  <si>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</si>
  <si>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</si>
  <si>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</si>
  <si>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</si>
  <si>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</si>
  <si>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</si>
  <si>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</si>
  <si>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</si>
  <si>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</si>
  <si>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</si>
  <si>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</si>
  <si>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</si>
  <si>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</si>
  <si>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</si>
  <si>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</si>
  <si>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</si>
  <si>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</si>
  <si>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</si>
  <si>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</si>
  <si>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</si>
  <si>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</si>
  <si>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</si>
  <si>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</si>
  <si>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</si>
  <si>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</si>
  <si>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</si>
  <si>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</si>
  <si>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</si>
  <si>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</si>
  <si>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</si>
  <si>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</si>
  <si>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</si>
  <si>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</si>
  <si>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</si>
  <si>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</si>
  <si>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</si>
  <si>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</si>
  <si>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</si>
  <si>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</si>
  <si>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</si>
  <si>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</si>
  <si>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</si>
  <si>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</si>
  <si>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</si>
  <si>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</si>
  <si>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</si>
  <si>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</si>
  <si>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</si>
  <si>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</si>
  <si>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</si>
  <si>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</si>
  <si>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</si>
  <si>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</si>
  <si>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</si>
  <si>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JSW STEEL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</si>
  <si>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</si>
  <si>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</si>
  <si>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</si>
  <si>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</si>
  <si>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</si>
  <si>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</si>
  <si>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</si>
  <si>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</si>
  <si>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</si>
  <si>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</si>
  <si>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</si>
  <si>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</si>
  <si>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</si>
  <si>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</si>
  <si>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</si>
  <si>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</si>
  <si>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</si>
  <si>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</si>
  <si>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</si>
  <si>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</si>
  <si>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</si>
  <si>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</si>
  <si>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</si>
  <si>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</si>
  <si>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</si>
  <si>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</si>
  <si>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</si>
  <si>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</si>
  <si>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</si>
  <si>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LTM</t>
  </si>
  <si>
    <t>#</t>
  </si>
  <si>
    <t>income statement</t>
  </si>
  <si>
    <t>sales</t>
  </si>
  <si>
    <t xml:space="preserve"> sales growth</t>
  </si>
  <si>
    <t>COGS</t>
  </si>
  <si>
    <t xml:space="preserve">cogs % sales </t>
  </si>
  <si>
    <t>gross profit</t>
  </si>
  <si>
    <t>SG&amp;A</t>
  </si>
  <si>
    <t>gross profit as % sales</t>
  </si>
  <si>
    <t>SG&amp;A as % of sales</t>
  </si>
  <si>
    <t>interset as % of sale</t>
  </si>
  <si>
    <t>depriciation % of slaes</t>
  </si>
  <si>
    <t>EBT</t>
  </si>
  <si>
    <t>ebt % of sales</t>
  </si>
  <si>
    <t>TAX</t>
  </si>
  <si>
    <t>net margin</t>
  </si>
  <si>
    <t>eps growth %</t>
  </si>
  <si>
    <t>dividend per share</t>
  </si>
  <si>
    <t>dividend payout ratio %</t>
  </si>
  <si>
    <t>retained earning</t>
  </si>
  <si>
    <t>balance sheet</t>
  </si>
  <si>
    <t>assest net block</t>
  </si>
  <si>
    <t>total non current assest</t>
  </si>
  <si>
    <t>Total current assest</t>
  </si>
  <si>
    <t>total assest</t>
  </si>
  <si>
    <t>total libalitites</t>
  </si>
  <si>
    <t>check</t>
  </si>
  <si>
    <t>cash flow statement</t>
  </si>
  <si>
    <t>SalesGrowth</t>
  </si>
  <si>
    <t>EBITDA Growth</t>
  </si>
  <si>
    <t>EBIT Growth</t>
  </si>
  <si>
    <t>Net Profit Growth</t>
  </si>
  <si>
    <t>Dividend Growth</t>
  </si>
  <si>
    <t>Gross Margin</t>
  </si>
  <si>
    <t>Operating Margin</t>
  </si>
  <si>
    <t>EBITDA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</si>
  <si>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</si>
  <si>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</si>
  <si>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</si>
  <si>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</si>
  <si>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</si>
  <si>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</si>
  <si>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</si>
  <si>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</si>
  <si>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</si>
  <si>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</si>
  <si>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</si>
  <si>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</si>
  <si>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 Turnover</t>
  </si>
  <si>
    <t>Capital Turnover Ratio</t>
  </si>
  <si>
    <t>Payable Days</t>
  </si>
  <si>
    <t>Inventory Days</t>
  </si>
  <si>
    <t>Cash Conversion Cycle</t>
  </si>
  <si>
    <t>CFO/Sales</t>
  </si>
  <si>
    <t>CFO/Total Assets</t>
  </si>
  <si>
    <t>CFO/Total Debt</t>
  </si>
  <si>
    <t>(in days)</t>
  </si>
  <si>
    <t>mean</t>
  </si>
  <si>
    <t>median</t>
  </si>
  <si>
    <t>all figures are in inr unless stated altrnatives</t>
  </si>
  <si>
    <t>peer comps</t>
  </si>
  <si>
    <t>name of the comp</t>
  </si>
  <si>
    <t xml:space="preserve">country </t>
  </si>
  <si>
    <t xml:space="preserve">total debt </t>
  </si>
  <si>
    <t>total equity</t>
  </si>
  <si>
    <t>debt/ equity</t>
  </si>
  <si>
    <t>debt/ capital</t>
  </si>
  <si>
    <t>India</t>
  </si>
  <si>
    <t xml:space="preserve">average </t>
  </si>
  <si>
    <t>cost of debt</t>
  </si>
  <si>
    <t>cost of equity</t>
  </si>
  <si>
    <t>pre-tax cost of debt</t>
  </si>
  <si>
    <t xml:space="preserve">riske free rate </t>
  </si>
  <si>
    <t>tax rate</t>
  </si>
  <si>
    <t>equity risk permium</t>
  </si>
  <si>
    <t>after tax cost of debt</t>
  </si>
  <si>
    <r>
      <t xml:space="preserve">levered beta </t>
    </r>
    <r>
      <rPr>
        <vertAlign val="superscript"/>
        <sz val="11"/>
        <color theme="1"/>
        <rFont val="Calibri"/>
        <family val="2"/>
      </rPr>
      <t>4</t>
    </r>
  </si>
  <si>
    <t>Cost of equity</t>
  </si>
  <si>
    <t xml:space="preserve">capital structure </t>
  </si>
  <si>
    <t>levered beta</t>
  </si>
  <si>
    <t xml:space="preserve">current </t>
  </si>
  <si>
    <t>comps median unlivered beta</t>
  </si>
  <si>
    <t>total debt</t>
  </si>
  <si>
    <t>target debt/equity</t>
  </si>
  <si>
    <t>markt capitalisation</t>
  </si>
  <si>
    <t>total capitalisation</t>
  </si>
  <si>
    <t>Debt /equity</t>
  </si>
  <si>
    <t>Weighted Average cost of capital</t>
  </si>
  <si>
    <t xml:space="preserve">Total cost </t>
  </si>
  <si>
    <t>1. Tax Rate considered as Marginal Tax Rate for the country</t>
  </si>
  <si>
    <t>debt capital</t>
  </si>
  <si>
    <t>3. Unlevered Beta = Levered Beta/(1+(1-Tax Rate) x Debt/Equity)</t>
  </si>
  <si>
    <t>equity capital</t>
  </si>
  <si>
    <t>4. Levered Beta = Unlevered Beta*(1+(1-Tax Rate) x Debt/Equity)</t>
  </si>
  <si>
    <t>Weight average cost of capital</t>
  </si>
  <si>
    <t>Total weight</t>
  </si>
  <si>
    <t>company overview</t>
  </si>
  <si>
    <r>
      <t xml:space="preserve">JSW Steel has a consolidated steelmaking capacity of </t>
    </r>
    <r>
      <rPr>
        <b/>
        <sz val="11"/>
        <color theme="1"/>
        <rFont val="Calibri"/>
        <family val="2"/>
        <scheme val="minor"/>
      </rPr>
      <t>35.7 MTPA</t>
    </r>
    <r>
      <rPr>
        <sz val="11"/>
        <color theme="1"/>
        <rFont val="Calibri"/>
        <family val="2"/>
        <scheme val="minor"/>
      </rPr>
      <t>, making it one of India's largest steel producers.</t>
    </r>
  </si>
  <si>
    <r>
      <t xml:space="preserve">JSW Steel exports its products to </t>
    </r>
    <r>
      <rPr>
        <b/>
        <sz val="11"/>
        <color theme="1"/>
        <rFont val="Calibri"/>
        <family val="2"/>
        <scheme val="minor"/>
      </rPr>
      <t>more than 100 countries</t>
    </r>
    <r>
      <rPr>
        <sz val="11"/>
        <color theme="1"/>
        <rFont val="Calibri"/>
        <family val="2"/>
        <scheme val="minor"/>
      </rPr>
      <t>, giving it a strong global presence.</t>
    </r>
  </si>
  <si>
    <r>
      <t xml:space="preserve">The company operates </t>
    </r>
    <r>
      <rPr>
        <b/>
        <sz val="11"/>
        <color theme="1"/>
        <rFont val="Calibri"/>
        <family val="2"/>
        <scheme val="minor"/>
      </rPr>
      <t>15+ manufacturing facilities</t>
    </r>
    <r>
      <rPr>
        <sz val="11"/>
        <color theme="1"/>
        <rFont val="Calibri"/>
        <family val="2"/>
        <scheme val="minor"/>
      </rPr>
      <t xml:space="preserve"> across India and overseas.</t>
    </r>
  </si>
  <si>
    <r>
      <t xml:space="preserve">The company is undertaking significant capital expenditure to increase steelmaking capacity from </t>
    </r>
    <r>
      <rPr>
        <b/>
        <sz val="11"/>
        <color theme="1"/>
        <rFont val="Calibri"/>
        <family val="2"/>
        <scheme val="minor"/>
      </rPr>
      <t>35.7 MTPA to 51.5 MTPA by FY2031</t>
    </r>
    <r>
      <rPr>
        <sz val="11"/>
        <color theme="1"/>
        <rFont val="Calibri"/>
        <family val="2"/>
        <scheme val="minor"/>
      </rPr>
      <t>.</t>
    </r>
  </si>
  <si>
    <t>Key assumption &amp; methodolgy</t>
  </si>
  <si>
    <t>Equity Risk Premium (ERP)</t>
  </si>
  <si>
    <t>Tax Rate</t>
  </si>
  <si>
    <t xml:space="preserve">valutaion date </t>
  </si>
  <si>
    <t xml:space="preserve">projection period </t>
  </si>
  <si>
    <t xml:space="preserve">revenue growth </t>
  </si>
  <si>
    <t xml:space="preserve">annual growth tappering </t>
  </si>
  <si>
    <t>terminal growth rate</t>
  </si>
  <si>
    <t>risk-free rate (Rf)</t>
  </si>
  <si>
    <t>Rational</t>
  </si>
  <si>
    <t xml:space="preserve">Value </t>
  </si>
  <si>
    <t>based on 10 year govt t bond</t>
  </si>
  <si>
    <t xml:space="preserve">Growth </t>
  </si>
  <si>
    <t>Return on capital</t>
  </si>
  <si>
    <t>Particulars</t>
  </si>
  <si>
    <t>EBIT</t>
  </si>
  <si>
    <t>EBITDA</t>
  </si>
  <si>
    <t xml:space="preserve"> ebitda as % of sales</t>
  </si>
  <si>
    <t>Nopat</t>
  </si>
  <si>
    <t>BV of equity</t>
  </si>
  <si>
    <t>BV of debt</t>
  </si>
  <si>
    <t>cash</t>
  </si>
  <si>
    <t>BV of Capital</t>
  </si>
  <si>
    <t>Calculation return on capital</t>
  </si>
  <si>
    <t>Calculation of Reinvestment Rate</t>
  </si>
  <si>
    <t>Net Cap expenditure</t>
  </si>
  <si>
    <t>Change in working capital</t>
  </si>
  <si>
    <t>working capital</t>
  </si>
  <si>
    <t>Reinvestment Rate</t>
  </si>
  <si>
    <t xml:space="preserve">Reinvestment </t>
  </si>
  <si>
    <t>calculation of expected growth</t>
  </si>
  <si>
    <t>growth</t>
  </si>
  <si>
    <t>average</t>
  </si>
  <si>
    <t>considering median growth rate to prevent from outlier</t>
  </si>
  <si>
    <t>CAGR of nifty 50 past 10 year is app. 12%</t>
  </si>
  <si>
    <t>Revenue projection and growth assumption</t>
  </si>
  <si>
    <t>revenue growth %</t>
  </si>
  <si>
    <t>revenue</t>
  </si>
  <si>
    <t>scenario</t>
  </si>
  <si>
    <t>Base</t>
  </si>
  <si>
    <t>Best</t>
  </si>
  <si>
    <t>Worst</t>
  </si>
  <si>
    <t>free cash flow projection</t>
  </si>
  <si>
    <t xml:space="preserve">particulars </t>
  </si>
  <si>
    <t>Revenue</t>
  </si>
  <si>
    <t>Less : Deperication</t>
  </si>
  <si>
    <t>Less : Tax</t>
  </si>
  <si>
    <t>NOPAT</t>
  </si>
  <si>
    <t>Add: Deperication</t>
  </si>
  <si>
    <t>Free Cash Flow To Firm</t>
  </si>
  <si>
    <t>TATA steel</t>
  </si>
  <si>
    <t>Jindal steel</t>
  </si>
  <si>
    <t>SAIL</t>
  </si>
  <si>
    <t>jidnal stain</t>
  </si>
  <si>
    <t>sharda energy</t>
  </si>
  <si>
    <t xml:space="preserve">2. Levered Beta is based on long term beta </t>
  </si>
  <si>
    <t>5. Target debt/equity based on peers</t>
  </si>
  <si>
    <r>
      <t xml:space="preserve">taget </t>
    </r>
    <r>
      <rPr>
        <vertAlign val="superscript"/>
        <sz val="11"/>
        <color theme="1"/>
        <rFont val="Calibri"/>
        <family val="2"/>
        <scheme val="minor"/>
      </rPr>
      <t>5.</t>
    </r>
  </si>
  <si>
    <t>Less: Reinvestment</t>
  </si>
  <si>
    <t>Effective tax rate based on historical data</t>
  </si>
  <si>
    <t>Free Cash Flow Calculation</t>
  </si>
  <si>
    <t>Dicounted Cash Flow Model</t>
  </si>
  <si>
    <t>Terminal Value Calculation</t>
  </si>
  <si>
    <t>Terminal growth rate</t>
  </si>
  <si>
    <t>Terminal Value</t>
  </si>
  <si>
    <t>Present Value Calculation</t>
  </si>
  <si>
    <t>FCFF</t>
  </si>
  <si>
    <t>Discout Factor</t>
  </si>
  <si>
    <t>PV of FCFF</t>
  </si>
  <si>
    <t>Enterprise Value</t>
  </si>
  <si>
    <t>PV of terminal Value</t>
  </si>
  <si>
    <t>Value of Equity</t>
  </si>
  <si>
    <t>Value of Enterprise</t>
  </si>
  <si>
    <t>Less: Debt</t>
  </si>
  <si>
    <t>Add: Cash&amp;Investment</t>
  </si>
  <si>
    <t>Equity Value</t>
  </si>
  <si>
    <t>Intrensic Value</t>
  </si>
  <si>
    <t>No. of share outstanding</t>
  </si>
  <si>
    <t>value per share</t>
  </si>
  <si>
    <t>line chart</t>
  </si>
  <si>
    <t>Ratio Analysis</t>
  </si>
  <si>
    <r>
      <t>tax rate</t>
    </r>
    <r>
      <rPr>
        <b/>
        <vertAlign val="superscript"/>
        <sz val="11"/>
        <color theme="1"/>
        <rFont val="Calibri"/>
        <family val="2"/>
      </rPr>
      <t xml:space="preserve"> 1</t>
    </r>
  </si>
  <si>
    <r>
      <t xml:space="preserve">levered beta </t>
    </r>
    <r>
      <rPr>
        <b/>
        <vertAlign val="superscript"/>
        <sz val="11"/>
        <color theme="1"/>
        <rFont val="Calibri"/>
        <family val="2"/>
      </rPr>
      <t>2</t>
    </r>
  </si>
  <si>
    <r>
      <t xml:space="preserve">unlivered beta </t>
    </r>
    <r>
      <rPr>
        <b/>
        <vertAlign val="superscript"/>
        <sz val="11"/>
        <color theme="1"/>
        <rFont val="Calibri"/>
        <family val="2"/>
      </rPr>
      <t>3</t>
    </r>
  </si>
  <si>
    <t xml:space="preserve">Weighted average cost of capital </t>
  </si>
  <si>
    <t>Terminal growth/WACC</t>
  </si>
  <si>
    <t>WACC</t>
  </si>
  <si>
    <t>Conclusion</t>
  </si>
  <si>
    <t>Senstivity Analysis</t>
  </si>
  <si>
    <t>Upside Drivers</t>
  </si>
  <si>
    <t>key risk &amp; considration</t>
  </si>
  <si>
    <r>
      <rPr>
        <b/>
        <sz val="11"/>
        <color theme="1"/>
        <rFont val="Calibri"/>
        <family val="2"/>
        <scheme val="minor"/>
      </rPr>
      <t>Stable CFO</t>
    </r>
    <r>
      <rPr>
        <sz val="11"/>
        <color theme="1"/>
        <rFont val="Calibri"/>
        <family val="2"/>
        <scheme val="minor"/>
      </rPr>
      <t xml:space="preserve"> - cash flow from operation shows a table growth</t>
    </r>
  </si>
  <si>
    <r>
      <rPr>
        <b/>
        <sz val="11"/>
        <color theme="1"/>
        <rFont val="Calibri"/>
        <family val="2"/>
        <scheme val="minor"/>
      </rPr>
      <t>Steel price</t>
    </r>
    <r>
      <rPr>
        <sz val="11"/>
        <color theme="1"/>
        <rFont val="Calibri"/>
        <family val="2"/>
        <scheme val="minor"/>
      </rPr>
      <t xml:space="preserve"> - Increase in steel price increase revenue </t>
    </r>
  </si>
  <si>
    <t>Downside risk</t>
  </si>
  <si>
    <r>
      <rPr>
        <b/>
        <sz val="11"/>
        <color theme="1"/>
        <rFont val="Calibri"/>
        <family val="2"/>
        <scheme val="minor"/>
      </rPr>
      <t>Raw material cost</t>
    </r>
    <r>
      <rPr>
        <sz val="11"/>
        <color theme="1"/>
        <rFont val="Calibri"/>
        <family val="2"/>
        <scheme val="minor"/>
      </rPr>
      <t xml:space="preserve"> - increase in primary raw metrial (iron ore , thermal coal , etc.) cost</t>
    </r>
  </si>
  <si>
    <r>
      <rPr>
        <b/>
        <sz val="11"/>
        <color theme="1"/>
        <rFont val="Calibri"/>
        <family val="2"/>
        <scheme val="minor"/>
      </rPr>
      <t xml:space="preserve">Market Risk - </t>
    </r>
    <r>
      <rPr>
        <sz val="11"/>
        <color theme="1"/>
        <rFont val="Calibri"/>
        <family val="2"/>
        <scheme val="minor"/>
      </rPr>
      <t>Risk of export due to regulatory changes</t>
    </r>
  </si>
  <si>
    <r>
      <rPr>
        <b/>
        <sz val="11"/>
        <color theme="1"/>
        <rFont val="Calibri"/>
        <family val="2"/>
        <scheme val="minor"/>
      </rPr>
      <t>Infrastructure Risk</t>
    </r>
    <r>
      <rPr>
        <sz val="11"/>
        <color theme="1"/>
        <rFont val="Calibri"/>
        <family val="2"/>
        <scheme val="minor"/>
      </rPr>
      <t xml:space="preserve"> - Increasing production capacity from 35.7 MTPA to 50 MTPA increase infrastructure risk</t>
    </r>
  </si>
  <si>
    <r>
      <rPr>
        <b/>
        <sz val="11"/>
        <color theme="1"/>
        <rFont val="Calibri"/>
        <family val="2"/>
        <scheme val="minor"/>
      </rPr>
      <t>steel demand</t>
    </r>
    <r>
      <rPr>
        <sz val="11"/>
        <color theme="1"/>
        <rFont val="Calibri"/>
        <family val="2"/>
        <scheme val="minor"/>
      </rPr>
      <t xml:space="preserve"> - estimate of 7.7% CAGR of automobile industry from 2026-2030 which increase demad of steel</t>
    </r>
  </si>
  <si>
    <t>Recommendation</t>
  </si>
  <si>
    <t>Key Highlights</t>
  </si>
  <si>
    <t>negative cash conversion cycle show cash collection from debtor is higher than paying cash to supplier</t>
  </si>
  <si>
    <t>app. 12.08% of annual CAGR have generated throughout 10 year</t>
  </si>
  <si>
    <t>despite having in capital intensive industry its depreciation as a % of sales is low</t>
  </si>
  <si>
    <t xml:space="preserve"> </t>
  </si>
  <si>
    <t>Common Size Statement</t>
  </si>
  <si>
    <t xml:space="preserve">Income Statement </t>
  </si>
  <si>
    <t>Depriciation</t>
  </si>
  <si>
    <t>Net Profit</t>
  </si>
  <si>
    <t>effective tax rate % of EBT</t>
  </si>
  <si>
    <t>Balance Sheet</t>
  </si>
  <si>
    <t>Total Liability</t>
  </si>
  <si>
    <t>Total Asset</t>
  </si>
  <si>
    <r>
      <t>Based on our Discounted Cash Flow (DCF) valuation, the stock's intrinsic value is estimated at</t>
    </r>
    <r>
      <rPr>
        <b/>
        <sz val="11"/>
        <color theme="1"/>
        <rFont val="Calibri"/>
        <family val="2"/>
        <scheme val="minor"/>
      </rPr>
      <t xml:space="preserve"> ₹758 per share</t>
    </r>
    <r>
      <rPr>
        <sz val="11"/>
        <color theme="1"/>
        <rFont val="Calibri"/>
        <family val="2"/>
        <scheme val="minor"/>
      </rPr>
      <t>, compared with the</t>
    </r>
    <r>
      <rPr>
        <b/>
        <sz val="11"/>
        <color theme="1"/>
        <rFont val="Calibri"/>
        <family val="2"/>
        <scheme val="minor"/>
      </rPr>
      <t xml:space="preserve"> </t>
    </r>
    <r>
      <rPr>
        <sz val="11"/>
        <color theme="1"/>
        <rFont val="Calibri"/>
        <family val="2"/>
        <scheme val="minor"/>
      </rPr>
      <t>current market price of</t>
    </r>
    <r>
      <rPr>
        <b/>
        <sz val="11"/>
        <color theme="1"/>
        <rFont val="Calibri"/>
        <family val="2"/>
        <scheme val="minor"/>
      </rPr>
      <t xml:space="preserve"> ₹1,306</t>
    </r>
    <r>
      <rPr>
        <sz val="11"/>
        <color theme="1"/>
        <rFont val="Calibri"/>
        <family val="2"/>
        <scheme val="minor"/>
      </rPr>
      <t xml:space="preserve"> per share.</t>
    </r>
    <r>
      <rPr>
        <b/>
        <sz val="11"/>
        <color theme="1"/>
        <rFont val="Calibri"/>
        <family val="2"/>
        <scheme val="minor"/>
      </rPr>
      <t xml:space="preserve"> </t>
    </r>
  </si>
  <si>
    <r>
      <t xml:space="preserve">This implies that the stock is trading at approximately </t>
    </r>
    <r>
      <rPr>
        <b/>
        <sz val="11"/>
        <color theme="1"/>
        <rFont val="Calibri"/>
        <family val="2"/>
        <scheme val="minor"/>
      </rPr>
      <t>1.72x its intrinsic value</t>
    </r>
    <r>
      <rPr>
        <sz val="11"/>
        <color theme="1"/>
        <rFont val="Calibri"/>
        <family val="2"/>
        <scheme val="minor"/>
      </rPr>
      <t xml:space="preserve">, suggesting a significant </t>
    </r>
    <r>
      <rPr>
        <b/>
        <sz val="11"/>
        <color theme="1"/>
        <rFont val="Calibri"/>
        <family val="2"/>
        <scheme val="minor"/>
      </rPr>
      <t>overvaluation</t>
    </r>
    <r>
      <rPr>
        <sz val="11"/>
        <color theme="1"/>
        <rFont val="Calibri"/>
        <family val="2"/>
        <scheme val="minor"/>
      </rPr>
      <t xml:space="preserve"> relative to our DCF-based assessment.</t>
    </r>
  </si>
  <si>
    <t>Working Capital / Total Assets</t>
  </si>
  <si>
    <t>Total Assets</t>
  </si>
  <si>
    <t>Working Capital / Total Assets (A)</t>
  </si>
  <si>
    <t>Retained Earnings / Total Assets</t>
  </si>
  <si>
    <t>Retained Earnings</t>
  </si>
  <si>
    <t>Retained Earnings / Total Assets (B)</t>
  </si>
  <si>
    <t>EBIT / Total Assets</t>
  </si>
  <si>
    <t>EBIT/Total Assets (C)</t>
  </si>
  <si>
    <t>Market Cap / Long term Liabilities</t>
  </si>
  <si>
    <t>Market Cap</t>
  </si>
  <si>
    <t>Long term Liabilities</t>
  </si>
  <si>
    <t>Market Cap / Long term Liabilities (D)</t>
  </si>
  <si>
    <t>Sales / Total Assets</t>
  </si>
  <si>
    <t>Total Sales</t>
  </si>
  <si>
    <t>Return on Asset (E)</t>
  </si>
  <si>
    <t>Altman's Z Score</t>
  </si>
  <si>
    <t>Final Score</t>
  </si>
  <si>
    <t>Financial Stability</t>
  </si>
  <si>
    <t>Altman's Z Score Analysis Calculation</t>
  </si>
  <si>
    <t>Retun On Asset (A*B)</t>
  </si>
  <si>
    <t>Assest Turnover Ratio (B)</t>
  </si>
  <si>
    <t>Average Total Assets</t>
  </si>
  <si>
    <t>Net  Profit Marin (A)</t>
  </si>
  <si>
    <t>ROA - DuPont Equation</t>
  </si>
  <si>
    <t>Retun On Asset</t>
  </si>
  <si>
    <t>Averge Total Assest</t>
  </si>
  <si>
    <t>Return On Assest (ROA)</t>
  </si>
  <si>
    <t>Retun On Equity (A*B*C)</t>
  </si>
  <si>
    <t>Equity Multiplyer (C)</t>
  </si>
  <si>
    <t>Total Equity</t>
  </si>
  <si>
    <t>Average Total Asset</t>
  </si>
  <si>
    <t>Net Profit Margin (A)</t>
  </si>
  <si>
    <t xml:space="preserve">Net Profit </t>
  </si>
  <si>
    <t>(ROE)- DuPont Equation</t>
  </si>
  <si>
    <t>Retun On Equity</t>
  </si>
  <si>
    <t>Averge Shareholder Equity</t>
  </si>
  <si>
    <t>Return on Equity (ROE)</t>
  </si>
  <si>
    <t>Financial Summary</t>
  </si>
  <si>
    <t>JSW Steel Limited is an Indian multinational steel producer based in Mumbai and is a flagship company of the JSW Group. After the merger of Bhushan Power &amp; Steel, and Ispat Steel and Jindal Vijayanagar Steel Limited, JSW Steel became one of India's largest private sector steel companies. JSW Steel's history can be traced back to 1982, when the Jindal Group acquired Piramal Steel Limited, which operated a mini steel mill at Tarapur in Maharashtra and renamed it as Jindal Iron and Steel Company (JISCO). Soon after the acquisition the group set up its first steel plant in 1982 at Vasind, near Mumbai.As of July 2023, the installed with a production capacity of 29.7 MTPA in India and the United States. The company is aiming to boost the total steel production capacity to 38.5 MTPA by the financial year 2025.</t>
  </si>
  <si>
    <t>About the company</t>
  </si>
  <si>
    <t>(JSW Steel Ltd | BSE Code: 500228)</t>
  </si>
  <si>
    <t>Benish M-Score Analysis Calculation</t>
  </si>
  <si>
    <t>Days Sales Recivable Index</t>
  </si>
  <si>
    <t>Recivable/Sales (current year)</t>
  </si>
  <si>
    <t>Recivable/Sales (previous year)</t>
  </si>
  <si>
    <t>Gross Margin Index</t>
  </si>
  <si>
    <t>Gross Margin (previous year)</t>
  </si>
  <si>
    <t>Gross Margin (Currrent year)</t>
  </si>
  <si>
    <t>Asset Quality Index</t>
  </si>
  <si>
    <t>Asset Quality (current year)</t>
  </si>
  <si>
    <t>Asset Quality (previous year)</t>
  </si>
  <si>
    <t>Sales growth Index</t>
  </si>
  <si>
    <t>Sales growth (current year)</t>
  </si>
  <si>
    <t>Sales growth (previous year)</t>
  </si>
  <si>
    <t>Depreciation index</t>
  </si>
  <si>
    <t>Depreciation ratio ( pervious year)</t>
  </si>
  <si>
    <t>Depreciation Ratio ( Currrent year)</t>
  </si>
  <si>
    <t>SG&amp;A Expense Index</t>
  </si>
  <si>
    <t>SG&amp;A Margin (current year)</t>
  </si>
  <si>
    <t>SG&amp;A Margin (previous  year)</t>
  </si>
  <si>
    <t>Accruals Ratio</t>
  </si>
  <si>
    <t>CFO</t>
  </si>
  <si>
    <t xml:space="preserve">Leverage Index </t>
  </si>
  <si>
    <t>Leverage ratio ( current year)</t>
  </si>
  <si>
    <t>Leverage ratio ( previous year)</t>
  </si>
  <si>
    <t>Benish M Score</t>
  </si>
  <si>
    <t>Probability Of Earning Mnaipulation</t>
  </si>
  <si>
    <t>Cash from Operating Activity -</t>
  </si>
  <si>
    <t>Profit from operations</t>
  </si>
  <si>
    <t>Payables</t>
  </si>
  <si>
    <t>Loans Advances</t>
  </si>
  <si>
    <t>Other WC items</t>
  </si>
  <si>
    <t>Working capital changes</t>
  </si>
  <si>
    <t>Direct taxes</t>
  </si>
  <si>
    <t>Cash from Investing Activity +</t>
  </si>
  <si>
    <t>Cash from Financing Activity +</t>
  </si>
  <si>
    <t>Free Cash Flow</t>
  </si>
  <si>
    <t>CFO/OP</t>
  </si>
  <si>
    <t>52 Week (High - INR 1231 &amp; Low - INR 1210)</t>
  </si>
  <si>
    <r>
      <t>Investment recommendation -</t>
    </r>
    <r>
      <rPr>
        <b/>
        <sz val="20"/>
        <color theme="4"/>
        <rFont val="Calibri"/>
        <family val="2"/>
        <scheme val="minor"/>
      </rPr>
      <t xml:space="preserve"> </t>
    </r>
    <r>
      <rPr>
        <sz val="20"/>
        <color theme="4"/>
        <rFont val="Calibri"/>
        <family val="2"/>
        <scheme val="minor"/>
      </rPr>
      <t>Hold</t>
    </r>
  </si>
  <si>
    <t>based on world bank GDP growth rate data for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</si>
</sst>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409]mmm\-yy;@"/>
    <numFmt numFmtId="166" formatCode="&quot;₹&quot;\ #,##0.00"/>
    <numFmt numFmtId="167" formatCode="&quot;₹&quot;\ #,##0.0"/>
    <numFmt numFmtId="168" formatCode="#,##0.0;\(#,##0.0\)"/>
    <numFmt numFmtId="169" formatCode="#,##0.00;\(#,##0.00\)"/>
    <numFmt numFmtId="170" formatCode="&quot;₹&quot;\ #,##0.00;&quot;₹&quot;\ \(#,##0.00\)"/>
    <numFmt numFmtId="171" formatCode="0.00&quot;x&quot;"/>
    <numFmt numFmtId="172" formatCode="0.0"/>
    <numFmt numFmtId="173" formatCode="0.0%"/>
    <numFmt numFmtId="174" formatCode=";;;"/>
    <numFmt numFmtId="175" formatCode="General&quot;E&quot;"/>
    <numFmt numFmtId="176" formatCode="0.000"/>
    <numFmt numFmtId="177" formatCode="#,##0.0"/>
    <numFmt numFmtId="178" formatCode="#,##0.000"/>
  </numFmts>
  <fonts count="43" x14ac:knownFonts="1">
    <font>
      <sz val="11"/>
      <color theme="1"/>
      <name val="Calibri"/>
      <family val="2"/>
      <scheme val="minor"/>
    </font>
    <font>
      <sz val="11"/>
      <color theme="1"/>
      <name val="Calibri"/>
      <family val="2"/>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i/>
      <sz val="11"/>
      <color theme="1" tint="0.499984740745262"/>
      <name val="Calibri"/>
      <family val="2"/>
      <scheme val="minor"/>
    </font>
    <font>
      <sz val="12"/>
      <color theme="1"/>
      <name val="Calibri"/>
      <family val="2"/>
      <scheme val="minor"/>
    </font>
    <font>
      <b/>
      <sz val="12"/>
      <color theme="1"/>
      <name val="Calibri"/>
      <family val="2"/>
      <scheme val="minor"/>
    </font>
    <font>
      <sz val="11"/>
      <color rgb="FF22222F"/>
      <name val="Arial"/>
      <family val="2"/>
    </font>
    <font>
      <sz val="11"/>
      <color rgb="FF22222F"/>
      <name val="Arial"/>
      <family val="2"/>
    </font>
    <font>
      <b/>
      <sz val="11"/>
      <color theme="1"/>
      <name val="Calibri"/>
      <family val="2"/>
    </font>
    <font>
      <i/>
      <sz val="11"/>
      <color theme="1"/>
      <name val="Calibri"/>
      <family val="2"/>
    </font>
    <font>
      <vertAlign val="superscript"/>
      <sz val="11"/>
      <color theme="1"/>
      <name val="Calibri"/>
      <family val="2"/>
    </font>
    <font>
      <sz val="11"/>
      <color rgb="FF0000CC"/>
      <name val="Calibri"/>
      <family val="2"/>
    </font>
    <font>
      <sz val="11"/>
      <color rgb="FF000066"/>
      <name val="Calibri"/>
      <family val="2"/>
    </font>
    <font>
      <i/>
      <sz val="9"/>
      <color theme="1"/>
      <name val="Calibri"/>
      <family val="2"/>
    </font>
    <font>
      <i/>
      <sz val="11"/>
      <color theme="1"/>
      <name val="Calibri"/>
      <family val="2"/>
      <scheme val="minor"/>
    </font>
    <font>
      <vertAlign val="superscript"/>
      <sz val="11"/>
      <color theme="1"/>
      <name val="Calibri"/>
      <family val="2"/>
      <scheme val="minor"/>
    </font>
    <font>
      <b/>
      <sz val="11"/>
      <name val="Calibri"/>
      <family val="2"/>
      <scheme val="minor"/>
    </font>
    <font>
      <b/>
      <vertAlign val="superscript"/>
      <sz val="11"/>
      <color theme="1"/>
      <name val="Calibri"/>
      <family val="2"/>
    </font>
    <font>
      <b/>
      <i/>
      <u/>
      <sz val="18"/>
      <name val="Calibri"/>
      <family val="2"/>
      <scheme val="minor"/>
    </font>
    <font>
      <i/>
      <sz val="11"/>
      <color theme="0" tint="-0.249977111117893"/>
      <name val="Calibri"/>
      <family val="2"/>
      <scheme val="minor"/>
    </font>
    <font>
      <i/>
      <sz val="12"/>
      <color theme="1"/>
      <name val="Calibri"/>
      <family val="2"/>
      <scheme val="minor"/>
    </font>
    <font>
      <b/>
      <sz val="14"/>
      <color theme="1"/>
      <name val="Calibri"/>
      <family val="2"/>
      <scheme val="minor"/>
    </font>
    <font>
      <sz val="11"/>
      <color theme="4"/>
      <name val="Calibri"/>
      <family val="2"/>
      <scheme val="minor"/>
    </font>
    <font>
      <b/>
      <u/>
      <sz val="16"/>
      <color theme="1"/>
      <name val="Calibri"/>
      <family val="2"/>
      <scheme val="minor"/>
    </font>
    <font>
      <b/>
      <u/>
      <sz val="11"/>
      <color theme="1"/>
      <name val="Calibri"/>
      <family val="2"/>
      <scheme val="minor"/>
    </font>
    <font>
      <b/>
      <i/>
      <sz val="11"/>
      <color theme="5"/>
      <name val="calibri"/>
      <family val="2"/>
    </font>
    <font>
      <sz val="11"/>
      <color rgb="FFF5760F"/>
      <name val="Calibri"/>
      <family val="2"/>
      <scheme val="minor"/>
    </font>
    <font>
      <b/>
      <sz val="14"/>
      <color rgb="FF2744A0"/>
      <name val="Calibri"/>
      <family val="2"/>
      <scheme val="minor"/>
    </font>
    <font>
      <sz val="11"/>
      <color rgb="FF002060"/>
      <name val="Calibri"/>
      <family val="2"/>
      <scheme val="minor"/>
    </font>
    <font>
      <b/>
      <sz val="20"/>
      <color rgb="FF2744A0"/>
      <name val="Calibri"/>
      <family val="2"/>
      <scheme val="minor"/>
    </font>
    <font>
      <b/>
      <i/>
      <sz val="11"/>
      <color rgb="FF00B050"/>
      <name val="calibri"/>
      <family val="2"/>
    </font>
    <font>
      <b/>
      <sz val="20"/>
      <color theme="1"/>
      <name val="Calibri"/>
      <family val="2"/>
      <scheme val="minor"/>
    </font>
    <font>
      <b/>
      <sz val="20"/>
      <color theme="4"/>
      <name val="Calibri"/>
      <family val="2"/>
      <scheme val="minor"/>
    </font>
    <font>
      <sz val="20"/>
      <color theme="4"/>
      <name val="Calibri"/>
      <family val="2"/>
      <scheme val="minor"/>
    </font>
    <font>
      <sz val="20"/>
      <color theme="1"/>
      <name val="Calibri"/>
      <family val="2"/>
      <scheme val="minor"/>
    </font>
  </fonts>
  <fills count="21">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00B0F0"/>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rgb="FFFFFF00"/>
        <bgColor indexed="64"/>
      </patternFill>
    </fill>
    <fill>
      <patternFill patternType="solid">
        <fgColor theme="3" tint="0.79998168889431442"/>
        <bgColor indexed="64"/>
      </patternFill>
    </fill>
    <fill>
      <patternFill patternType="solid">
        <fgColor rgb="FFED1C24"/>
        <bgColor indexed="64"/>
      </patternFill>
    </fill>
    <fill>
      <patternFill patternType="solid">
        <fgColor theme="5" tint="0.39997558519241921"/>
        <bgColor indexed="64"/>
      </patternFill>
    </fill>
    <fill>
      <patternFill patternType="solid">
        <fgColor rgb="FF2744A0"/>
        <bgColor indexed="64"/>
      </patternFill>
    </fill>
  </fills>
  <borders count="7">
    <border>
      <left/>
      <right/>
      <top/>
      <bottom/>
      <diagonal/>
    </border>
    <border>
      <left/>
      <right/>
      <top style="thin">
        <color auto="1"/>
      </top>
      <bottom/>
      <diagonal/>
    </border>
    <border>
      <left/>
      <right/>
      <top/>
      <bottom style="thin">
        <color auto="1"/>
      </bottom>
      <diagonal/>
    </border>
    <border>
      <left/>
      <right/>
      <top style="hair">
        <color auto="1"/>
      </top>
      <bottom/>
      <diagonal/>
    </border>
    <border>
      <left/>
      <right/>
      <top style="thin">
        <color auto="1"/>
      </top>
      <bottom style="thin">
        <color indexed="64"/>
      </bottom>
      <diagonal/>
    </border>
    <border>
      <left style="thin">
        <color auto="1"/>
      </left>
      <right style="thin">
        <color auto="1"/>
      </right>
      <top style="thin">
        <color auto="1"/>
      </top>
      <bottom style="thin">
        <color auto="1"/>
      </bottom>
      <diagonal/>
    </border>
    <border>
      <left/>
      <right/>
      <top/>
      <bottom style="medium">
        <color rgb="FFED1C24"/>
      </bottom>
      <diagonal/>
    </border>
  </borders>
  <cellStyleXfs count="7">
    <xf numFmtId="0" fontId="0"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9" fontId="4" fillId="0" borderId="0" applyFont="0" applyFill="0" applyBorder="0" applyAlignment="0" applyProtection="0"/>
  </cellStyleXfs>
  <cellXfs count="197">
    <xf numFmtId="0" fontId="0" fillId="0" borderId="0" xfId="0"/>
    <xf numFmtId="43" fontId="2" fillId="0" borderId="0" xfId="1" applyFont="1" applyBorder="1"/>
    <xf numFmtId="0" fontId="2" fillId="0" borderId="0" xfId="0" applyFont="1" applyFill="1" applyBorder="1"/>
    <xf numFmtId="0" fontId="9" fillId="0" borderId="0" xfId="0" applyFont="1" applyFill="1" applyBorder="1" applyAlignment="1"/>
    <xf numFmtId="0" fontId="2" fillId="0" borderId="0" xfId="0" applyFont="1" applyFill="1" applyBorder="1" applyAlignment="1"/>
    <xf numFmtId="43" fontId="0" fillId="0" borderId="0" xfId="1" applyFont="1" applyBorder="1"/>
    <xf numFmtId="0" fontId="0" fillId="0" borderId="0" xfId="0" applyFont="1" applyBorder="1"/>
    <xf numFmtId="10" fontId="0" fillId="0" borderId="0" xfId="0" applyNumberFormat="1" applyFont="1" applyBorder="1"/>
    <xf numFmtId="0" fontId="2" fillId="0" borderId="0" xfId="0" applyFont="1" applyBorder="1"/>
    <xf numFmtId="43" fontId="4" fillId="0" borderId="0" xfId="1" applyFont="1" applyBorder="1"/>
    <xf numFmtId="9" fontId="4" fillId="0" borderId="0" xfId="1" applyNumberFormat="1" applyFont="1" applyBorder="1"/>
    <xf numFmtId="0" fontId="0" fillId="0" borderId="0" xfId="0" applyBorder="1"/>
    <xf numFmtId="43" fontId="3" fillId="2" borderId="0" xfId="3" applyNumberFormat="1" applyFont="1" applyBorder="1"/>
    <xf numFmtId="43" fontId="3" fillId="3" borderId="0" xfId="4" applyNumberFormat="1" applyFont="1" applyBorder="1"/>
    <xf numFmtId="9" fontId="2" fillId="0" borderId="0" xfId="6" applyFont="1" applyBorder="1"/>
    <xf numFmtId="0" fontId="3" fillId="5" borderId="0" xfId="0" applyFont="1" applyFill="1" applyBorder="1"/>
    <xf numFmtId="165" fontId="3" fillId="5" borderId="0" xfId="0" applyNumberFormat="1" applyFont="1" applyFill="1" applyBorder="1" applyAlignment="1">
      <alignment horizontal="center"/>
    </xf>
    <xf numFmtId="0" fontId="3" fillId="5" borderId="0" xfId="0" applyFont="1" applyFill="1" applyBorder="1" applyAlignment="1">
      <alignment horizontal="center"/>
    </xf>
    <xf numFmtId="0" fontId="0" fillId="0" borderId="0" xfId="0" applyFill="1" applyBorder="1"/>
    <xf numFmtId="43" fontId="0" fillId="0" borderId="0" xfId="1" applyNumberFormat="1" applyFont="1" applyBorder="1" applyAlignment="1">
      <alignment horizontal="center"/>
    </xf>
    <xf numFmtId="43" fontId="2" fillId="0" borderId="0" xfId="1" applyNumberFormat="1" applyFont="1" applyBorder="1" applyAlignment="1">
      <alignment horizontal="center"/>
    </xf>
    <xf numFmtId="43" fontId="0" fillId="0" borderId="0" xfId="1" applyNumberFormat="1" applyFont="1" applyBorder="1"/>
    <xf numFmtId="10" fontId="2" fillId="0" borderId="0" xfId="0" applyNumberFormat="1" applyFont="1" applyBorder="1"/>
    <xf numFmtId="165" fontId="3" fillId="5" borderId="0" xfId="1" applyNumberFormat="1" applyFont="1" applyFill="1" applyBorder="1"/>
    <xf numFmtId="165" fontId="10" fillId="0" borderId="0" xfId="1" applyNumberFormat="1" applyFont="1" applyFill="1" applyBorder="1"/>
    <xf numFmtId="0" fontId="8" fillId="0" borderId="0" xfId="0" applyFont="1" applyBorder="1"/>
    <xf numFmtId="0" fontId="0" fillId="0" borderId="0" xfId="0" applyBorder="1" applyAlignment="1">
      <alignment horizontal="left"/>
    </xf>
    <xf numFmtId="0" fontId="7" fillId="0" borderId="0" xfId="2" applyFont="1" applyBorder="1" applyAlignment="1" applyProtection="1">
      <alignment horizontal="left"/>
    </xf>
    <xf numFmtId="0" fontId="7" fillId="0" borderId="0" xfId="2" applyFont="1" applyBorder="1" applyAlignment="1" applyProtection="1"/>
    <xf numFmtId="0" fontId="0" fillId="0" borderId="0" xfId="0" applyFont="1" applyFill="1" applyBorder="1"/>
    <xf numFmtId="0" fontId="10" fillId="0" borderId="0" xfId="0" applyFont="1" applyFill="1" applyBorder="1"/>
    <xf numFmtId="164" fontId="0" fillId="0" borderId="0" xfId="1" applyNumberFormat="1" applyFont="1" applyBorder="1"/>
    <xf numFmtId="43" fontId="2" fillId="0" borderId="0" xfId="0" applyNumberFormat="1" applyFont="1" applyBorder="1"/>
    <xf numFmtId="0" fontId="2" fillId="0" borderId="0" xfId="0" applyFont="1"/>
    <xf numFmtId="166" fontId="0" fillId="0" borderId="0" xfId="0" applyNumberFormat="1"/>
    <xf numFmtId="0" fontId="11" fillId="0" borderId="0" xfId="0" applyFont="1"/>
    <xf numFmtId="9" fontId="11" fillId="0" borderId="0" xfId="6" applyFont="1"/>
    <xf numFmtId="167" fontId="0" fillId="0" borderId="0" xfId="0" applyNumberFormat="1"/>
    <xf numFmtId="168" fontId="0" fillId="0" borderId="0" xfId="0" applyNumberFormat="1"/>
    <xf numFmtId="169" fontId="0" fillId="0" borderId="0" xfId="0" applyNumberFormat="1"/>
    <xf numFmtId="43" fontId="2" fillId="0" borderId="0" xfId="1" applyFont="1" applyFill="1" applyBorder="1"/>
    <xf numFmtId="0" fontId="0" fillId="6" borderId="0" xfId="0" applyFill="1"/>
    <xf numFmtId="0" fontId="2" fillId="6" borderId="0" xfId="0" applyFont="1" applyFill="1"/>
    <xf numFmtId="170" fontId="0" fillId="0" borderId="0" xfId="0" applyNumberFormat="1"/>
    <xf numFmtId="170" fontId="2" fillId="0" borderId="0" xfId="0" applyNumberFormat="1" applyFont="1"/>
    <xf numFmtId="170" fontId="0" fillId="0" borderId="0" xfId="0" applyNumberFormat="1" applyBorder="1"/>
    <xf numFmtId="0" fontId="12" fillId="8" borderId="0" xfId="0" applyFont="1" applyFill="1" applyBorder="1" applyAlignment="1">
      <alignment horizontal="left" vertical="center"/>
    </xf>
    <xf numFmtId="0" fontId="15" fillId="8" borderId="0" xfId="0" applyFont="1" applyFill="1" applyBorder="1" applyAlignment="1">
      <alignment horizontal="left" vertical="center"/>
    </xf>
    <xf numFmtId="0" fontId="13" fillId="8" borderId="0" xfId="0" applyFont="1" applyFill="1" applyBorder="1" applyAlignment="1">
      <alignment horizontal="left" vertical="center"/>
    </xf>
    <xf numFmtId="170" fontId="2" fillId="0" borderId="0" xfId="0" applyNumberFormat="1" applyFont="1" applyBorder="1"/>
    <xf numFmtId="0" fontId="0" fillId="7" borderId="0" xfId="0" applyFill="1" applyBorder="1" applyAlignment="1">
      <alignment horizontal="left" vertical="center"/>
    </xf>
    <xf numFmtId="0" fontId="0" fillId="8" borderId="0" xfId="0" applyFill="1" applyBorder="1" applyAlignment="1">
      <alignment horizontal="left" vertical="center"/>
    </xf>
    <xf numFmtId="0" fontId="2" fillId="8" borderId="0" xfId="0" applyFont="1" applyFill="1" applyBorder="1" applyAlignment="1">
      <alignment horizontal="left" vertical="center"/>
    </xf>
    <xf numFmtId="0" fontId="0" fillId="0" borderId="0" xfId="0" applyAlignment="1">
      <alignment wrapText="1"/>
    </xf>
    <xf numFmtId="0" fontId="0" fillId="0" borderId="0" xfId="0" applyAlignment="1">
      <alignment vertical="center"/>
    </xf>
    <xf numFmtId="10" fontId="0" fillId="0" borderId="0" xfId="6" applyNumberFormat="1" applyFont="1" applyAlignment="1">
      <alignment wrapText="1"/>
    </xf>
    <xf numFmtId="171" fontId="0" fillId="0" borderId="0" xfId="0" applyNumberFormat="1" applyAlignment="1">
      <alignment wrapText="1"/>
    </xf>
    <xf numFmtId="0" fontId="2" fillId="0" borderId="0" xfId="0" applyFont="1" applyAlignment="1">
      <alignment wrapText="1"/>
    </xf>
    <xf numFmtId="2" fontId="0" fillId="0" borderId="0" xfId="0" applyNumberFormat="1" applyAlignment="1">
      <alignment wrapText="1"/>
    </xf>
    <xf numFmtId="10" fontId="0" fillId="0" borderId="0" xfId="0" applyNumberFormat="1"/>
    <xf numFmtId="10" fontId="0" fillId="0" borderId="0" xfId="6" applyNumberFormat="1" applyFont="1"/>
    <xf numFmtId="172" fontId="0" fillId="0" borderId="0" xfId="0" applyNumberFormat="1"/>
    <xf numFmtId="0" fontId="17" fillId="0" borderId="0" xfId="0" applyFont="1"/>
    <xf numFmtId="0" fontId="0" fillId="0" borderId="0" xfId="0" applyAlignment="1">
      <alignment horizontal="center"/>
    </xf>
    <xf numFmtId="0" fontId="19" fillId="0" borderId="0" xfId="0" applyFont="1"/>
    <xf numFmtId="0" fontId="19" fillId="0" borderId="0" xfId="0" applyFont="1" applyAlignment="1">
      <alignment horizontal="center"/>
    </xf>
    <xf numFmtId="10" fontId="19" fillId="0" borderId="0" xfId="0" applyNumberFormat="1" applyFont="1" applyAlignment="1">
      <alignment horizontal="center"/>
    </xf>
    <xf numFmtId="2" fontId="20" fillId="0" borderId="0" xfId="0" applyNumberFormat="1" applyFont="1" applyAlignment="1">
      <alignment horizontal="center"/>
    </xf>
    <xf numFmtId="2" fontId="0" fillId="0" borderId="0" xfId="0" applyNumberFormat="1" applyAlignment="1">
      <alignment horizontal="center"/>
    </xf>
    <xf numFmtId="0" fontId="16" fillId="0" borderId="1" xfId="0" applyFont="1" applyBorder="1"/>
    <xf numFmtId="0" fontId="16" fillId="0" borderId="2" xfId="0" applyFont="1" applyBorder="1"/>
    <xf numFmtId="0" fontId="0" fillId="0" borderId="3" xfId="0" applyBorder="1"/>
    <xf numFmtId="10" fontId="0" fillId="0" borderId="3" xfId="0" applyNumberFormat="1" applyBorder="1"/>
    <xf numFmtId="0" fontId="0" fillId="0" borderId="2" xfId="0" applyBorder="1" applyAlignment="1">
      <alignment horizontal="center"/>
    </xf>
    <xf numFmtId="172" fontId="0" fillId="0" borderId="3" xfId="0" applyNumberFormat="1" applyBorder="1"/>
    <xf numFmtId="0" fontId="21" fillId="9" borderId="0" xfId="0" applyFont="1" applyFill="1"/>
    <xf numFmtId="0" fontId="1" fillId="9" borderId="0" xfId="0" applyFont="1" applyFill="1"/>
    <xf numFmtId="0" fontId="1" fillId="0" borderId="0" xfId="0" applyFont="1"/>
    <xf numFmtId="0" fontId="21" fillId="9" borderId="0" xfId="0" applyFont="1" applyFill="1" applyAlignment="1">
      <alignment vertical="top"/>
    </xf>
    <xf numFmtId="0" fontId="1" fillId="9" borderId="0" xfId="0" applyFont="1" applyFill="1" applyAlignment="1">
      <alignment vertical="top"/>
    </xf>
    <xf numFmtId="0" fontId="1" fillId="0" borderId="0" xfId="0" applyFont="1" applyAlignment="1">
      <alignment vertical="top"/>
    </xf>
    <xf numFmtId="0" fontId="0" fillId="10" borderId="0" xfId="0" applyFill="1"/>
    <xf numFmtId="0" fontId="2" fillId="10" borderId="0" xfId="0" applyFont="1" applyFill="1"/>
    <xf numFmtId="0" fontId="0" fillId="0" borderId="0" xfId="0" applyAlignment="1"/>
    <xf numFmtId="0" fontId="13" fillId="0" borderId="0" xfId="0" applyFont="1"/>
    <xf numFmtId="0" fontId="12" fillId="0" borderId="0" xfId="0" applyFont="1"/>
    <xf numFmtId="10" fontId="0" fillId="0" borderId="0" xfId="6" applyNumberFormat="1" applyFont="1" applyAlignment="1">
      <alignment horizontal="center"/>
    </xf>
    <xf numFmtId="0" fontId="2" fillId="0" borderId="1" xfId="0" applyFont="1" applyBorder="1"/>
    <xf numFmtId="170" fontId="2" fillId="0" borderId="1" xfId="0" applyNumberFormat="1" applyFont="1" applyBorder="1"/>
    <xf numFmtId="9" fontId="2" fillId="0" borderId="0" xfId="6" applyFont="1"/>
    <xf numFmtId="9" fontId="0" fillId="0" borderId="0" xfId="0" applyNumberFormat="1"/>
    <xf numFmtId="173" fontId="0" fillId="0" borderId="0" xfId="6" applyNumberFormat="1" applyFont="1"/>
    <xf numFmtId="0" fontId="22" fillId="11" borderId="0" xfId="0" applyFont="1" applyFill="1"/>
    <xf numFmtId="0" fontId="0" fillId="11" borderId="0" xfId="0" applyFill="1"/>
    <xf numFmtId="10" fontId="0" fillId="11" borderId="0" xfId="0" applyNumberFormat="1" applyFill="1"/>
    <xf numFmtId="174" fontId="0" fillId="0" borderId="0" xfId="0" applyNumberFormat="1"/>
    <xf numFmtId="0" fontId="14" fillId="7" borderId="0" xfId="0" applyFont="1" applyFill="1" applyAlignment="1">
      <alignment horizontal="right" vertical="center" wrapText="1" indent="1"/>
    </xf>
    <xf numFmtId="2" fontId="0" fillId="0" borderId="0" xfId="0" applyNumberFormat="1"/>
    <xf numFmtId="166" fontId="19" fillId="0" borderId="0" xfId="0" applyNumberFormat="1" applyFont="1"/>
    <xf numFmtId="2" fontId="2" fillId="0" borderId="1" xfId="0" applyNumberFormat="1" applyFont="1" applyBorder="1"/>
    <xf numFmtId="176" fontId="0" fillId="0" borderId="0" xfId="0" applyNumberFormat="1" applyAlignment="1">
      <alignment horizontal="center"/>
    </xf>
    <xf numFmtId="43" fontId="0" fillId="0" borderId="0" xfId="0" applyNumberFormat="1"/>
    <xf numFmtId="0" fontId="2" fillId="12" borderId="0" xfId="0" applyFont="1" applyFill="1"/>
    <xf numFmtId="2" fontId="2" fillId="0" borderId="1" xfId="0" applyNumberFormat="1" applyFont="1" applyBorder="1" applyAlignment="1">
      <alignment horizontal="center"/>
    </xf>
    <xf numFmtId="43" fontId="2" fillId="0" borderId="1" xfId="0" applyNumberFormat="1" applyFont="1" applyBorder="1"/>
    <xf numFmtId="0" fontId="2" fillId="13" borderId="0" xfId="0" applyFont="1" applyFill="1"/>
    <xf numFmtId="43" fontId="2" fillId="0" borderId="4" xfId="1" applyFont="1" applyBorder="1"/>
    <xf numFmtId="170" fontId="2" fillId="0" borderId="4" xfId="0" applyNumberFormat="1" applyFont="1" applyBorder="1"/>
    <xf numFmtId="43" fontId="2" fillId="0" borderId="4" xfId="1" applyFont="1" applyFill="1" applyBorder="1"/>
    <xf numFmtId="0" fontId="0" fillId="12" borderId="4" xfId="0" applyFill="1" applyBorder="1"/>
    <xf numFmtId="0" fontId="2" fillId="12" borderId="4" xfId="0" applyFont="1" applyFill="1" applyBorder="1"/>
    <xf numFmtId="175" fontId="2" fillId="12" borderId="4" xfId="0" applyNumberFormat="1" applyFont="1" applyFill="1" applyBorder="1"/>
    <xf numFmtId="0" fontId="2" fillId="12" borderId="4" xfId="0" applyFont="1" applyFill="1" applyBorder="1" applyAlignment="1">
      <alignment horizontal="center"/>
    </xf>
    <xf numFmtId="0" fontId="0" fillId="10" borderId="1" xfId="0" applyFill="1" applyBorder="1"/>
    <xf numFmtId="0" fontId="2" fillId="10" borderId="1" xfId="0" applyFont="1" applyFill="1" applyBorder="1"/>
    <xf numFmtId="0" fontId="2" fillId="12" borderId="0" xfId="0" applyFont="1" applyFill="1" applyAlignment="1">
      <alignment horizontal="center" wrapText="1"/>
    </xf>
    <xf numFmtId="0" fontId="2" fillId="12" borderId="4" xfId="0" applyFont="1" applyFill="1" applyBorder="1" applyAlignment="1">
      <alignment wrapText="1"/>
    </xf>
    <xf numFmtId="17" fontId="2" fillId="12" borderId="4" xfId="0" applyNumberFormat="1" applyFont="1" applyFill="1" applyBorder="1" applyAlignment="1">
      <alignment horizontal="right" wrapText="1"/>
    </xf>
    <xf numFmtId="0" fontId="2" fillId="12" borderId="4" xfId="0" applyFont="1" applyFill="1" applyBorder="1" applyAlignment="1">
      <alignment horizontal="right" wrapText="1"/>
    </xf>
    <xf numFmtId="0" fontId="2" fillId="12" borderId="4" xfId="0" applyFont="1" applyFill="1" applyBorder="1" applyAlignment="1">
      <alignment horizontal="center" wrapText="1"/>
    </xf>
    <xf numFmtId="17" fontId="24" fillId="12" borderId="4" xfId="0" applyNumberFormat="1" applyFont="1" applyFill="1" applyBorder="1"/>
    <xf numFmtId="17" fontId="2" fillId="12" borderId="4" xfId="0" applyNumberFormat="1" applyFont="1" applyFill="1" applyBorder="1"/>
    <xf numFmtId="10" fontId="2" fillId="0" borderId="0" xfId="0" applyNumberFormat="1" applyFont="1"/>
    <xf numFmtId="10" fontId="0" fillId="14" borderId="0" xfId="6" applyNumberFormat="1" applyFont="1" applyFill="1" applyAlignment="1">
      <alignment horizontal="center"/>
    </xf>
    <xf numFmtId="14" fontId="0" fillId="0" borderId="0" xfId="0" applyNumberFormat="1" applyAlignment="1">
      <alignment horizontal="center"/>
    </xf>
    <xf numFmtId="0" fontId="10" fillId="6" borderId="0" xfId="0" applyFont="1" applyFill="1"/>
    <xf numFmtId="0" fontId="26" fillId="6" borderId="0" xfId="0" applyFont="1" applyFill="1"/>
    <xf numFmtId="166" fontId="0" fillId="0" borderId="1" xfId="0" applyNumberFormat="1" applyBorder="1"/>
    <xf numFmtId="9" fontId="0" fillId="0" borderId="1" xfId="6" applyFont="1" applyBorder="1"/>
    <xf numFmtId="10" fontId="0" fillId="0" borderId="1" xfId="6" applyNumberFormat="1" applyFont="1" applyBorder="1"/>
    <xf numFmtId="2" fontId="0" fillId="0" borderId="1" xfId="0" applyNumberFormat="1" applyBorder="1"/>
    <xf numFmtId="166" fontId="0" fillId="0" borderId="2" xfId="0" applyNumberFormat="1" applyBorder="1"/>
    <xf numFmtId="9" fontId="0" fillId="0" borderId="2" xfId="6" applyFont="1" applyBorder="1"/>
    <xf numFmtId="10" fontId="0" fillId="0" borderId="2" xfId="6" applyNumberFormat="1" applyFont="1" applyBorder="1"/>
    <xf numFmtId="0" fontId="0" fillId="0" borderId="2" xfId="0" applyBorder="1"/>
    <xf numFmtId="2" fontId="0" fillId="0" borderId="2" xfId="0" applyNumberFormat="1" applyBorder="1"/>
    <xf numFmtId="17" fontId="2" fillId="12" borderId="4" xfId="0" applyNumberFormat="1" applyFont="1" applyFill="1" applyBorder="1" applyAlignment="1">
      <alignment horizontal="center" vertical="center"/>
    </xf>
    <xf numFmtId="0" fontId="22" fillId="17" borderId="0" xfId="0" applyFont="1" applyFill="1"/>
    <xf numFmtId="0" fontId="28" fillId="17" borderId="0" xfId="0" applyFont="1" applyFill="1"/>
    <xf numFmtId="0" fontId="29" fillId="0" borderId="0" xfId="0" applyFont="1"/>
    <xf numFmtId="0" fontId="30" fillId="0" borderId="0" xfId="0" applyFont="1"/>
    <xf numFmtId="0" fontId="0" fillId="0" borderId="0" xfId="0" applyFont="1"/>
    <xf numFmtId="9" fontId="11" fillId="0" borderId="0" xfId="6" applyNumberFormat="1" applyFont="1"/>
    <xf numFmtId="43" fontId="2" fillId="0" borderId="4" xfId="0" applyNumberFormat="1" applyFont="1" applyBorder="1"/>
    <xf numFmtId="0" fontId="2" fillId="0" borderId="4" xfId="0" applyFont="1" applyBorder="1"/>
    <xf numFmtId="10" fontId="2" fillId="0" borderId="4" xfId="6" applyNumberFormat="1" applyFont="1" applyBorder="1"/>
    <xf numFmtId="43" fontId="27" fillId="0" borderId="0" xfId="0" applyNumberFormat="1" applyFont="1" applyAlignment="1">
      <alignment horizontal="center"/>
    </xf>
    <xf numFmtId="10" fontId="2" fillId="12" borderId="0" xfId="0" applyNumberFormat="1" applyFont="1" applyFill="1" applyAlignment="1">
      <alignment horizontal="center"/>
    </xf>
    <xf numFmtId="43" fontId="0" fillId="0" borderId="5" xfId="0" applyNumberFormat="1" applyBorder="1" applyAlignment="1">
      <alignment horizontal="center"/>
    </xf>
    <xf numFmtId="43" fontId="0" fillId="16" borderId="5" xfId="0" applyNumberFormat="1" applyFill="1" applyBorder="1" applyAlignment="1">
      <alignment horizontal="center"/>
    </xf>
    <xf numFmtId="0" fontId="29" fillId="13" borderId="0" xfId="0" applyFont="1" applyFill="1"/>
    <xf numFmtId="17" fontId="16" fillId="0" borderId="0" xfId="0" applyNumberFormat="1" applyFont="1"/>
    <xf numFmtId="177" fontId="0" fillId="0" borderId="0" xfId="0" applyNumberFormat="1"/>
    <xf numFmtId="0" fontId="16" fillId="14" borderId="0" xfId="0" applyFont="1" applyFill="1"/>
    <xf numFmtId="10" fontId="16" fillId="14" borderId="0" xfId="6" applyNumberFormat="1" applyFont="1" applyFill="1"/>
    <xf numFmtId="172" fontId="16" fillId="14" borderId="0" xfId="0" applyNumberFormat="1" applyFont="1" applyFill="1"/>
    <xf numFmtId="0" fontId="16" fillId="0" borderId="0" xfId="0" applyFont="1"/>
    <xf numFmtId="0" fontId="31" fillId="6" borderId="0" xfId="0" applyFont="1" applyFill="1"/>
    <xf numFmtId="0" fontId="32" fillId="6" borderId="0" xfId="0" applyFont="1" applyFill="1"/>
    <xf numFmtId="172" fontId="33" fillId="0" borderId="0" xfId="0" applyNumberFormat="1" applyFont="1" applyAlignment="1">
      <alignment horizontal="right"/>
    </xf>
    <xf numFmtId="43" fontId="2" fillId="0" borderId="0" xfId="0" applyNumberFormat="1" applyFont="1"/>
    <xf numFmtId="0" fontId="0" fillId="18" borderId="0" xfId="0" applyFill="1"/>
    <xf numFmtId="10" fontId="2" fillId="19" borderId="0" xfId="6" applyNumberFormat="1" applyFont="1" applyFill="1"/>
    <xf numFmtId="0" fontId="2" fillId="19" borderId="0" xfId="0" applyFont="1" applyFill="1"/>
    <xf numFmtId="171" fontId="2" fillId="19" borderId="0" xfId="6" applyNumberFormat="1" applyFont="1" applyFill="1"/>
    <xf numFmtId="165" fontId="2" fillId="11" borderId="0" xfId="0" applyNumberFormat="1" applyFont="1" applyFill="1" applyAlignment="1">
      <alignment horizontal="center"/>
    </xf>
    <xf numFmtId="0" fontId="2" fillId="11" borderId="0" xfId="0" applyFont="1" applyFill="1"/>
    <xf numFmtId="0" fontId="34" fillId="6" borderId="0" xfId="0" applyFont="1" applyFill="1"/>
    <xf numFmtId="0" fontId="35" fillId="0" borderId="0" xfId="0" applyFont="1" applyAlignment="1">
      <alignment vertical="center"/>
    </xf>
    <xf numFmtId="0" fontId="0" fillId="0" borderId="6" xfId="0" applyBorder="1"/>
    <xf numFmtId="0" fontId="29" fillId="6" borderId="0" xfId="0" applyFont="1" applyFill="1"/>
    <xf numFmtId="0" fontId="35" fillId="0" borderId="0" xfId="0" applyFont="1"/>
    <xf numFmtId="0" fontId="36" fillId="0" borderId="0" xfId="0" applyFont="1"/>
    <xf numFmtId="43" fontId="37" fillId="6" borderId="0" xfId="0" applyNumberFormat="1" applyFont="1" applyFill="1" applyAlignment="1">
      <alignment vertical="center"/>
    </xf>
    <xf numFmtId="17" fontId="2" fillId="6" borderId="0" xfId="0" applyNumberFormat="1" applyFont="1" applyFill="1"/>
    <xf numFmtId="178" fontId="0" fillId="0" borderId="0" xfId="0" applyNumberFormat="1"/>
    <xf numFmtId="0" fontId="16" fillId="6" borderId="0" xfId="0" applyFont="1" applyFill="1"/>
    <xf numFmtId="10" fontId="16" fillId="6" borderId="0" xfId="6" applyNumberFormat="1" applyFont="1" applyFill="1"/>
    <xf numFmtId="172" fontId="38" fillId="0" borderId="0" xfId="0" applyNumberFormat="1" applyFont="1" applyAlignment="1">
      <alignment horizontal="right" wrapText="1"/>
    </xf>
    <xf numFmtId="172" fontId="33" fillId="0" borderId="0" xfId="0" applyNumberFormat="1" applyFont="1" applyAlignment="1">
      <alignment horizontal="right" wrapText="1"/>
    </xf>
    <xf numFmtId="0" fontId="16" fillId="0" borderId="0" xfId="0" applyFont="1" applyAlignment="1">
      <alignment vertical="center"/>
    </xf>
    <xf numFmtId="17" fontId="0" fillId="0" borderId="0" xfId="0" applyNumberFormat="1"/>
    <xf numFmtId="3" fontId="0" fillId="0" borderId="0" xfId="0" applyNumberFormat="1"/>
    <xf numFmtId="0" fontId="2" fillId="12" borderId="0" xfId="0" applyFont="1" applyFill="1" applyAlignment="1"/>
    <xf numFmtId="0" fontId="0" fillId="0" borderId="1" xfId="0" applyBorder="1"/>
    <xf numFmtId="0" fontId="2" fillId="13" borderId="4" xfId="0" applyFont="1" applyFill="1" applyBorder="1"/>
    <xf numFmtId="0" fontId="2" fillId="15" borderId="4" xfId="0" applyFont="1" applyFill="1" applyBorder="1"/>
    <xf numFmtId="0" fontId="0" fillId="15" borderId="4" xfId="0" applyFill="1" applyBorder="1"/>
    <xf numFmtId="10" fontId="0" fillId="0" borderId="0" xfId="0" applyNumberFormat="1" applyAlignment="1">
      <alignment horizontal="center"/>
    </xf>
    <xf numFmtId="0" fontId="0" fillId="0" borderId="0" xfId="0" applyAlignment="1">
      <alignment horizontal="right"/>
    </xf>
    <xf numFmtId="0" fontId="39" fillId="0" borderId="4" xfId="0" applyFont="1" applyBorder="1"/>
    <xf numFmtId="0" fontId="42" fillId="0" borderId="4" xfId="0" applyFont="1" applyBorder="1"/>
    <xf numFmtId="0" fontId="42" fillId="0" borderId="0" xfId="0" applyFont="1"/>
    <xf numFmtId="0" fontId="3" fillId="20" borderId="0" xfId="0" applyFont="1" applyFill="1" applyAlignment="1">
      <alignment horizontal="center"/>
    </xf>
    <xf numFmtId="0" fontId="0" fillId="0" borderId="0" xfId="0" applyAlignment="1">
      <alignment horizontal="left" vertical="center" wrapText="1"/>
    </xf>
    <xf numFmtId="43" fontId="5" fillId="6" borderId="0" xfId="2" applyNumberFormat="1" applyFill="1" applyBorder="1" applyAlignment="1" applyProtection="1">
      <alignment horizontal="center"/>
    </xf>
    <xf numFmtId="43" fontId="3" fillId="4" borderId="0" xfId="5" applyNumberFormat="1" applyFont="1" applyBorder="1" applyAlignment="1">
      <alignment horizont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28466E"/>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91121796657937E-2"/>
          <c:y val="8.9069179027515419E-2"/>
          <c:w val="0.86097953204735256"/>
          <c:h val="0.70001519546898738"/>
        </c:manualLayout>
      </c:layout>
      <c:barChart>
        <c:barDir val="col"/>
        <c:grouping val="clustered"/>
        <c:varyColors val="0"/>
        <c:ser>
          <c:idx val="0"/>
          <c:order val="0"/>
          <c:spPr>
            <a:solidFill>
              <a:schemeClr val="accent4">
                <a:lumMod val="75000"/>
              </a:schemeClr>
            </a:solidFill>
            <a:ln>
              <a:noFill/>
            </a:ln>
            <a:effectLst/>
          </c:spPr>
          <c:invertIfNegative val="0"/>
          <c:dPt>
            <c:idx val="0"/>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1-65E8-4B0A-86B1-0922ED90E677}"/>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65E8-4B0A-86B1-0922ED90E677}"/>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65E8-4B0A-86B1-0922ED90E67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Analysis'!$F$75:$I$75</c:f>
              <c:numCache>
                <c:formatCode>[$-409]mmm\-yy;@</c:formatCode>
                <c:ptCount val="4"/>
                <c:pt idx="0">
                  <c:v>45016</c:v>
                </c:pt>
                <c:pt idx="1">
                  <c:v>45382</c:v>
                </c:pt>
                <c:pt idx="2">
                  <c:v>45747</c:v>
                </c:pt>
                <c:pt idx="3">
                  <c:v>46112</c:v>
                </c:pt>
              </c:numCache>
            </c:numRef>
          </c:cat>
          <c:val>
            <c:numRef>
              <c:f>'DuPont Analysis'!$F$77:$I$77</c:f>
              <c:numCache>
                <c:formatCode>General</c:formatCode>
                <c:ptCount val="4"/>
                <c:pt idx="0">
                  <c:v>4144</c:v>
                </c:pt>
                <c:pt idx="1">
                  <c:v>8812</c:v>
                </c:pt>
                <c:pt idx="2">
                  <c:v>3504</c:v>
                </c:pt>
                <c:pt idx="3">
                  <c:v>22316</c:v>
                </c:pt>
              </c:numCache>
            </c:numRef>
          </c:val>
          <c:extLst>
            <c:ext xmlns:c16="http://schemas.microsoft.com/office/drawing/2014/chart" uri="{C3380CC4-5D6E-409C-BE32-E72D297353CC}">
              <c16:uniqueId val="{00000006-65E8-4B0A-86B1-0922ED90E677}"/>
            </c:ext>
          </c:extLst>
        </c:ser>
        <c:dLbls>
          <c:showLegendKey val="0"/>
          <c:showVal val="0"/>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General"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835895042512771E-2"/>
          <c:y val="9.9531887969471378E-2"/>
          <c:w val="0.86097953204735256"/>
          <c:h val="0.70001519546898738"/>
        </c:manualLayout>
      </c:layout>
      <c:barChart>
        <c:barDir val="col"/>
        <c:grouping val="clustered"/>
        <c:varyColors val="0"/>
        <c:ser>
          <c:idx val="0"/>
          <c:order val="0"/>
          <c:spPr>
            <a:solidFill>
              <a:srgbClr val="275CA9"/>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9682-4873-9661-1C07936DE6D9}"/>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9682-4873-9661-1C07936DE6D9}"/>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9682-4873-9661-1C07936DE6D9}"/>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9682-4873-9661-1C07936DE6D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Analysis'!$F$75:$I$75</c:f>
              <c:numCache>
                <c:formatCode>[$-409]mmm\-yy;@</c:formatCode>
                <c:ptCount val="4"/>
                <c:pt idx="0">
                  <c:v>45016</c:v>
                </c:pt>
                <c:pt idx="1">
                  <c:v>45382</c:v>
                </c:pt>
                <c:pt idx="2">
                  <c:v>45747</c:v>
                </c:pt>
                <c:pt idx="3">
                  <c:v>46112</c:v>
                </c:pt>
              </c:numCache>
            </c:numRef>
          </c:cat>
          <c:val>
            <c:numRef>
              <c:f>'DuPont Analysis'!$F$78:$I$78</c:f>
              <c:numCache>
                <c:formatCode>General</c:formatCode>
                <c:ptCount val="4"/>
                <c:pt idx="0">
                  <c:v>165960</c:v>
                </c:pt>
                <c:pt idx="1">
                  <c:v>175006</c:v>
                </c:pt>
                <c:pt idx="2">
                  <c:v>168824</c:v>
                </c:pt>
                <c:pt idx="3">
                  <c:v>185470</c:v>
                </c:pt>
              </c:numCache>
            </c:numRef>
          </c:val>
          <c:extLst>
            <c:ext xmlns:c16="http://schemas.microsoft.com/office/drawing/2014/chart" uri="{C3380CC4-5D6E-409C-BE32-E72D297353CC}">
              <c16:uniqueId val="{00000008-9682-4873-9661-1C07936DE6D9}"/>
            </c:ext>
          </c:extLst>
        </c:ser>
        <c:dLbls>
          <c:showLegendKey val="0"/>
          <c:showVal val="0"/>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General"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91121796657937E-2"/>
          <c:y val="8.9069179027515419E-2"/>
          <c:w val="0.86097953204735256"/>
          <c:h val="0.70001519546898738"/>
        </c:manualLayout>
      </c:layout>
      <c:barChart>
        <c:barDir val="col"/>
        <c:grouping val="clustered"/>
        <c:varyColors val="0"/>
        <c:ser>
          <c:idx val="0"/>
          <c:order val="0"/>
          <c:spPr>
            <a:solidFill>
              <a:schemeClr val="accent4">
                <a:lumMod val="75000"/>
              </a:schemeClr>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416-4DA1-9C52-47BA72458F85}"/>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416-4DA1-9C52-47BA72458F85}"/>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416-4DA1-9C52-47BA72458F85}"/>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'DuPont Analysis'!$F$82:$I$82</c:f>
              <c:numCache>
                <c:formatCode>General</c:formatCode>
                <c:ptCount val="4"/>
                <c:pt idx="0">
                  <c:v>203512</c:v>
                </c:pt>
                <c:pt idx="1">
                  <c:v>219218.5</c:v>
                </c:pt>
                <c:pt idx="2">
                  <c:v>234171.5</c:v>
                </c:pt>
                <c:pt idx="3">
                  <c:v>255060.5</c:v>
                </c:pt>
              </c:numCache>
            </c:numRef>
          </c:val>
          <c:extLst>
            <c:ext xmlns:c16="http://schemas.microsoft.com/office/drawing/2014/chart" uri="{C3380CC4-5D6E-409C-BE32-E72D297353CC}">
              <c16:uniqueId val="{00000006-B416-4DA1-9C52-47BA72458F85}"/>
            </c:ext>
          </c:extLst>
        </c:ser>
        <c:dLbls>
          <c:showLegendKey val="0"/>
          <c:showVal val="0"/>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General"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9106777564544E-2"/>
          <c:y val="0.11848433073948286"/>
          <c:w val="0.86097953204735256"/>
          <c:h val="0.70001519546898738"/>
        </c:manualLayout>
      </c:layout>
      <c:barChart>
        <c:barDir val="col"/>
        <c:grouping val="clustered"/>
        <c:varyColors val="0"/>
        <c:ser>
          <c:idx val="0"/>
          <c:order val="0"/>
          <c:spPr>
            <a:solidFill>
              <a:schemeClr val="accent4">
                <a:lumMod val="20000"/>
                <a:lumOff val="80000"/>
              </a:schemeClr>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B451-4A58-ABBC-A8D6A49632C3}"/>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B451-4A58-ABBC-A8D6A49632C3}"/>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B451-4A58-ABBC-A8D6A49632C3}"/>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B451-4A58-ABBC-A8D6A4963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'DuPont Analysis'!$F$72:$I$72</c:f>
              <c:numCache>
                <c:formatCode>0.00%</c:formatCode>
                <c:ptCount val="4"/>
                <c:pt idx="0">
                  <c:v>4.1713851434668596E-2</c:v>
                </c:pt>
                <c:pt idx="1">
                  <c:v>7.9734700248379198E-2</c:v>
                </c:pt>
                <c:pt idx="2">
                  <c:v>2.9611976624792424E-2</c:v>
                </c:pt>
                <c:pt idx="3">
                  <c:v>0.15962689823391821</c:v>
                </c:pt>
              </c:numCache>
            </c:numRef>
          </c:val>
          <c:extLst>
            <c:ext xmlns:c16="http://schemas.microsoft.com/office/drawing/2014/chart" uri="{C3380CC4-5D6E-409C-BE32-E72D297353CC}">
              <c16:uniqueId val="{00000008-B451-4A58-ABBC-A8D6A49632C3}"/>
            </c:ext>
          </c:extLst>
        </c:ser>
        <c:dLbls>
          <c:showLegendKey val="0"/>
          <c:showVal val="0"/>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0.00%"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9106777564544E-2"/>
          <c:y val="9.9531887969471378E-2"/>
          <c:w val="0.86097953204735256"/>
          <c:h val="0.70001519546898738"/>
        </c:manualLayout>
      </c:layout>
      <c:barChart>
        <c:barDir val="col"/>
        <c:grouping val="clustered"/>
        <c:varyColors val="0"/>
        <c:ser>
          <c:idx val="0"/>
          <c:order val="0"/>
          <c:spPr>
            <a:solidFill>
              <a:srgbClr val="F5760F"/>
            </a:solidFill>
            <a:ln>
              <a:noFill/>
            </a:ln>
            <a:effectLst/>
          </c:spPr>
          <c:invertIfNegative val="0"/>
          <c:dPt>
            <c:idx val="0"/>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1-3363-4620-AA30-FFB3F7C99F90}"/>
              </c:ext>
            </c:extLst>
          </c:dPt>
          <c:dPt>
            <c:idx val="1"/>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3363-4620-AA30-FFB3F7C99F90}"/>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3363-4620-AA30-FFB3F7C99F90}"/>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7-3363-4620-AA30-FFB3F7C99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Analysis'!$F$75:$I$75</c:f>
              <c:numCache>
                <c:formatCode>[$-409]mmm\-yy;@</c:formatCode>
                <c:ptCount val="4"/>
                <c:pt idx="0">
                  <c:v>45016</c:v>
                </c:pt>
                <c:pt idx="1">
                  <c:v>45382</c:v>
                </c:pt>
                <c:pt idx="2">
                  <c:v>45747</c:v>
                </c:pt>
                <c:pt idx="3">
                  <c:v>46112</c:v>
                </c:pt>
              </c:numCache>
            </c:numRef>
          </c:cat>
          <c:val>
            <c:numRef>
              <c:f>'DuPont Analysis'!$F$97:$I$97</c:f>
              <c:numCache>
                <c:formatCode>0.00%</c:formatCode>
                <c:ptCount val="4"/>
                <c:pt idx="0">
                  <c:v>2.0362435630331382E-2</c:v>
                </c:pt>
                <c:pt idx="1">
                  <c:v>4.0197337359757501E-2</c:v>
                </c:pt>
                <c:pt idx="2">
                  <c:v>1.4963392214680266E-2</c:v>
                </c:pt>
                <c:pt idx="3">
                  <c:v>8.7492967354804052E-2</c:v>
                </c:pt>
              </c:numCache>
            </c:numRef>
          </c:val>
          <c:extLst>
            <c:ext xmlns:c16="http://schemas.microsoft.com/office/drawing/2014/chart" uri="{C3380CC4-5D6E-409C-BE32-E72D297353CC}">
              <c16:uniqueId val="{00000008-3363-4620-AA30-FFB3F7C99F90}"/>
            </c:ext>
          </c:extLst>
        </c:ser>
        <c:dLbls>
          <c:dLblPos val="outEnd"/>
          <c:showLegendKey val="0"/>
          <c:showVal val="1"/>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0.00%"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19106777564544E-2"/>
          <c:y val="9.9531887969471378E-2"/>
          <c:w val="0.86097953204735256"/>
          <c:h val="0.70001519546898738"/>
        </c:manualLayout>
      </c:layout>
      <c:barChart>
        <c:barDir val="col"/>
        <c:grouping val="clustered"/>
        <c:varyColors val="0"/>
        <c:ser>
          <c:idx val="0"/>
          <c:order val="0"/>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0057-4B76-86B4-D26736000189}"/>
              </c:ext>
            </c:extLst>
          </c:dPt>
          <c:dPt>
            <c:idx val="1"/>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3-0057-4B76-86B4-D26736000189}"/>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5-0057-4B76-86B4-D26736000189}"/>
              </c:ext>
            </c:extLst>
          </c:dPt>
          <c:dPt>
            <c:idx val="3"/>
            <c:invertIfNegative val="0"/>
            <c:bubble3D val="0"/>
            <c:spPr>
              <a:solidFill>
                <a:schemeClr val="accent4">
                  <a:lumMod val="20000"/>
                  <a:lumOff val="80000"/>
                </a:schemeClr>
              </a:solidFill>
              <a:ln>
                <a:noFill/>
              </a:ln>
              <a:effectLst/>
            </c:spPr>
            <c:extLst>
              <c:ext xmlns:c16="http://schemas.microsoft.com/office/drawing/2014/chart" uri="{C3380CC4-5D6E-409C-BE32-E72D297353CC}">
                <c16:uniqueId val="{00000007-0057-4B76-86B4-D2673600018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Analysis'!$F$75:$I$75</c:f>
              <c:numCache>
                <c:formatCode>[$-409]mmm\-yy;@</c:formatCode>
                <c:ptCount val="4"/>
                <c:pt idx="0">
                  <c:v>45016</c:v>
                </c:pt>
                <c:pt idx="1">
                  <c:v>45382</c:v>
                </c:pt>
                <c:pt idx="2">
                  <c:v>45747</c:v>
                </c:pt>
                <c:pt idx="3">
                  <c:v>46112</c:v>
                </c:pt>
              </c:numCache>
            </c:numRef>
          </c:cat>
          <c:val>
            <c:numRef>
              <c:f>'DuPont Analysis'!$F$87:$I$87</c:f>
              <c:numCache>
                <c:formatCode>0.00"x"</c:formatCode>
                <c:ptCount val="4"/>
                <c:pt idx="0">
                  <c:v>2.0485688545299894</c:v>
                </c:pt>
                <c:pt idx="1">
                  <c:v>1.983581637131107</c:v>
                </c:pt>
                <c:pt idx="2">
                  <c:v>1.9789614680914895</c:v>
                </c:pt>
                <c:pt idx="3">
                  <c:v>1.8244540453930944</c:v>
                </c:pt>
              </c:numCache>
            </c:numRef>
          </c:val>
          <c:extLst>
            <c:ext xmlns:c16="http://schemas.microsoft.com/office/drawing/2014/chart" uri="{C3380CC4-5D6E-409C-BE32-E72D297353CC}">
              <c16:uniqueId val="{00000008-0057-4B76-86B4-D26736000189}"/>
            </c:ext>
          </c:extLst>
        </c:ser>
        <c:dLbls>
          <c:dLblPos val="outEnd"/>
          <c:showLegendKey val="0"/>
          <c:showVal val="1"/>
          <c:showCatName val="0"/>
          <c:showSerName val="0"/>
          <c:showPercent val="0"/>
          <c:showBubbleSize val="0"/>
        </c:dLbls>
        <c:gapWidth val="219"/>
        <c:overlap val="-27"/>
        <c:axId val="1377466960"/>
        <c:axId val="1377464880"/>
      </c:barChart>
      <c:catAx>
        <c:axId val="13774669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7464880"/>
        <c:crosses val="autoZero"/>
        <c:auto val="0"/>
        <c:lblAlgn val="ctr"/>
        <c:lblOffset val="100"/>
        <c:noMultiLvlLbl val="0"/>
      </c:catAx>
      <c:valAx>
        <c:axId val="1377464880"/>
        <c:scaling>
          <c:orientation val="minMax"/>
        </c:scaling>
        <c:delete val="1"/>
        <c:axPos val="l"/>
        <c:numFmt formatCode="0.00&quot;x&quot;" sourceLinked="1"/>
        <c:majorTickMark val="none"/>
        <c:minorTickMark val="none"/>
        <c:tickLblPos val="nextTo"/>
        <c:crossAx val="13774669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2590799</xdr:colOff>
      <xdr:row>20</xdr:row>
      <xdr:rowOff>180974</xdr:rowOff>
    </xdr:from>
    <xdr:to>
      <xdr:col>5</xdr:col>
      <xdr:colOff>104775</xdr:colOff>
      <xdr:row>30</xdr:row>
      <xdr:rowOff>76200</xdr:rowOff>
    </xdr:to>
    <xdr:grpSp>
      <xdr:nvGrpSpPr>
        <xdr:cNvPr id="2" name="Group 1">
          <a:extLst>
            <a:ext uri="{FF2B5EF4-FFF2-40B4-BE49-F238E27FC236}">
              <a16:creationId xmlns:a16="http://schemas.microsoft.com/office/drawing/2014/main" id="{893ACA04-3277-418B-AEE3-5BF00E01847A}"/>
            </a:ext>
          </a:extLst>
        </xdr:cNvPr>
        <xdr:cNvGrpSpPr/>
      </xdr:nvGrpSpPr>
      <xdr:grpSpPr>
        <a:xfrm>
          <a:off x="2714624" y="4533899"/>
          <a:ext cx="2181226" cy="1800226"/>
          <a:chOff x="180974" y="3876675"/>
          <a:chExt cx="2009776" cy="1447800"/>
        </a:xfrm>
      </xdr:grpSpPr>
      <xdr:graphicFrame macro="">
        <xdr:nvGraphicFramePr>
          <xdr:cNvPr id="3" name="Chart 2">
            <a:extLst>
              <a:ext uri="{FF2B5EF4-FFF2-40B4-BE49-F238E27FC236}">
                <a16:creationId xmlns:a16="http://schemas.microsoft.com/office/drawing/2014/main" id="{DA5B794D-AFA0-498D-91E3-FFEFB341CFAF}"/>
              </a:ext>
            </a:extLst>
          </xdr:cNvPr>
          <xdr:cNvGraphicFramePr/>
        </xdr:nvGraphicFramePr>
        <xdr:xfrm>
          <a:off x="180974" y="4086224"/>
          <a:ext cx="2009776" cy="123825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E36F0631-9604-4C83-A994-3927F5484F65}"/>
              </a:ext>
            </a:extLst>
          </xdr:cNvPr>
          <xdr:cNvSpPr txBox="1"/>
        </xdr:nvSpPr>
        <xdr:spPr>
          <a:xfrm>
            <a:off x="495300" y="3905250"/>
            <a:ext cx="1238250" cy="269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Net</a:t>
            </a:r>
            <a:r>
              <a:rPr lang="en-IN" sz="1100" baseline="0"/>
              <a:t> Profit </a:t>
            </a:r>
            <a:r>
              <a:rPr lang="en-IN" sz="1100"/>
              <a:t>(INR)</a:t>
            </a:r>
            <a:r>
              <a:rPr lang="en-IN" sz="1100" baseline="0"/>
              <a:t> Cr.</a:t>
            </a:r>
            <a:endParaRPr lang="en-IN" sz="1100"/>
          </a:p>
        </xdr:txBody>
      </xdr:sp>
      <xdr:cxnSp macro="">
        <xdr:nvCxnSpPr>
          <xdr:cNvPr id="5" name="Straight Connector 4">
            <a:extLst>
              <a:ext uri="{FF2B5EF4-FFF2-40B4-BE49-F238E27FC236}">
                <a16:creationId xmlns:a16="http://schemas.microsoft.com/office/drawing/2014/main" id="{A34B1DBF-4DF9-43E5-9B7A-5BFA8D32CCB1}"/>
              </a:ext>
            </a:extLst>
          </xdr:cNvPr>
          <xdr:cNvCxnSpPr/>
        </xdr:nvCxnSpPr>
        <xdr:spPr>
          <a:xfrm flipV="1">
            <a:off x="438150" y="3876675"/>
            <a:ext cx="1447800" cy="1"/>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123825</xdr:colOff>
      <xdr:row>20</xdr:row>
      <xdr:rowOff>174838</xdr:rowOff>
    </xdr:from>
    <xdr:to>
      <xdr:col>9</xdr:col>
      <xdr:colOff>104775</xdr:colOff>
      <xdr:row>30</xdr:row>
      <xdr:rowOff>133350</xdr:rowOff>
    </xdr:to>
    <xdr:grpSp>
      <xdr:nvGrpSpPr>
        <xdr:cNvPr id="6" name="Group 5">
          <a:extLst>
            <a:ext uri="{FF2B5EF4-FFF2-40B4-BE49-F238E27FC236}">
              <a16:creationId xmlns:a16="http://schemas.microsoft.com/office/drawing/2014/main" id="{5460442C-67C4-4250-8CD8-2209CAA86604}"/>
            </a:ext>
          </a:extLst>
        </xdr:cNvPr>
        <xdr:cNvGrpSpPr/>
      </xdr:nvGrpSpPr>
      <xdr:grpSpPr>
        <a:xfrm>
          <a:off x="247650" y="4527763"/>
          <a:ext cx="7086600" cy="1863512"/>
          <a:chOff x="247650" y="3794338"/>
          <a:chExt cx="7086600" cy="1844462"/>
        </a:xfrm>
      </xdr:grpSpPr>
      <xdr:grpSp>
        <xdr:nvGrpSpPr>
          <xdr:cNvPr id="7" name="Group 6">
            <a:extLst>
              <a:ext uri="{FF2B5EF4-FFF2-40B4-BE49-F238E27FC236}">
                <a16:creationId xmlns:a16="http://schemas.microsoft.com/office/drawing/2014/main" id="{1B112670-215C-422E-8B83-A51E004CE7D4}"/>
              </a:ext>
            </a:extLst>
          </xdr:cNvPr>
          <xdr:cNvGrpSpPr/>
        </xdr:nvGrpSpPr>
        <xdr:grpSpPr>
          <a:xfrm>
            <a:off x="247650" y="3838069"/>
            <a:ext cx="2305050" cy="1718492"/>
            <a:chOff x="180974" y="3876675"/>
            <a:chExt cx="2009776" cy="1412488"/>
          </a:xfrm>
        </xdr:grpSpPr>
        <xdr:graphicFrame macro="">
          <xdr:nvGraphicFramePr>
            <xdr:cNvPr id="12" name="Chart 11">
              <a:extLst>
                <a:ext uri="{FF2B5EF4-FFF2-40B4-BE49-F238E27FC236}">
                  <a16:creationId xmlns:a16="http://schemas.microsoft.com/office/drawing/2014/main" id="{E5151224-518C-4503-9F7E-6FAD9AA52C03}"/>
                </a:ext>
              </a:extLst>
            </xdr:cNvPr>
            <xdr:cNvGraphicFramePr/>
          </xdr:nvGraphicFramePr>
          <xdr:xfrm>
            <a:off x="180974" y="4086224"/>
            <a:ext cx="2009776" cy="120293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3" name="TextBox 12">
              <a:extLst>
                <a:ext uri="{FF2B5EF4-FFF2-40B4-BE49-F238E27FC236}">
                  <a16:creationId xmlns:a16="http://schemas.microsoft.com/office/drawing/2014/main" id="{DCA805FC-99E6-4C65-9312-0EDDAF74DE8A}"/>
                </a:ext>
              </a:extLst>
            </xdr:cNvPr>
            <xdr:cNvSpPr txBox="1"/>
          </xdr:nvSpPr>
          <xdr:spPr>
            <a:xfrm>
              <a:off x="495300" y="3905250"/>
              <a:ext cx="1238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Revenue (INR)</a:t>
              </a:r>
              <a:r>
                <a:rPr lang="en-IN" sz="1100" baseline="0"/>
                <a:t> Cr.</a:t>
              </a:r>
              <a:endParaRPr lang="en-IN" sz="1100"/>
            </a:p>
          </xdr:txBody>
        </xdr:sp>
        <xdr:cxnSp macro="">
          <xdr:nvCxnSpPr>
            <xdr:cNvPr id="14" name="Straight Connector 13">
              <a:extLst>
                <a:ext uri="{FF2B5EF4-FFF2-40B4-BE49-F238E27FC236}">
                  <a16:creationId xmlns:a16="http://schemas.microsoft.com/office/drawing/2014/main" id="{D12F1BCB-5F83-46AC-B462-D7AA3B4EAC1B}"/>
                </a:ext>
              </a:extLst>
            </xdr:cNvPr>
            <xdr:cNvCxnSpPr/>
          </xdr:nvCxnSpPr>
          <xdr:spPr>
            <a:xfrm flipV="1">
              <a:off x="438150" y="3876675"/>
              <a:ext cx="1447800" cy="1"/>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grpSp>
        <xdr:nvGrpSpPr>
          <xdr:cNvPr id="8" name="Group 7">
            <a:extLst>
              <a:ext uri="{FF2B5EF4-FFF2-40B4-BE49-F238E27FC236}">
                <a16:creationId xmlns:a16="http://schemas.microsoft.com/office/drawing/2014/main" id="{F330F893-71EC-4CC4-AF98-0CDFB9F1DE39}"/>
              </a:ext>
            </a:extLst>
          </xdr:cNvPr>
          <xdr:cNvGrpSpPr/>
        </xdr:nvGrpSpPr>
        <xdr:grpSpPr>
          <a:xfrm>
            <a:off x="5153024" y="3794338"/>
            <a:ext cx="2181226" cy="1844462"/>
            <a:chOff x="180974" y="3876675"/>
            <a:chExt cx="2009776" cy="1447800"/>
          </a:xfrm>
        </xdr:grpSpPr>
        <xdr:graphicFrame macro="">
          <xdr:nvGraphicFramePr>
            <xdr:cNvPr id="9" name="Chart 8">
              <a:extLst>
                <a:ext uri="{FF2B5EF4-FFF2-40B4-BE49-F238E27FC236}">
                  <a16:creationId xmlns:a16="http://schemas.microsoft.com/office/drawing/2014/main" id="{5BCBC985-4449-4261-A049-43BDA531A417}"/>
                </a:ext>
              </a:extLst>
            </xdr:cNvPr>
            <xdr:cNvGraphicFramePr/>
          </xdr:nvGraphicFramePr>
          <xdr:xfrm>
            <a:off x="180974" y="4086224"/>
            <a:ext cx="2009776" cy="123825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A5839755-6671-476B-ACA1-CAEFC288CE96}"/>
                </a:ext>
              </a:extLst>
            </xdr:cNvPr>
            <xdr:cNvSpPr txBox="1"/>
          </xdr:nvSpPr>
          <xdr:spPr>
            <a:xfrm>
              <a:off x="389985" y="3895533"/>
              <a:ext cx="1642792" cy="269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Average</a:t>
              </a:r>
              <a:r>
                <a:rPr lang="en-IN" sz="1100" baseline="0"/>
                <a:t> Total Asset</a:t>
              </a:r>
              <a:r>
                <a:rPr lang="en-IN" sz="1100"/>
                <a:t>(INR)</a:t>
              </a:r>
              <a:r>
                <a:rPr lang="en-IN" sz="1100" baseline="0"/>
                <a:t> Cr.</a:t>
              </a:r>
              <a:endParaRPr lang="en-IN" sz="1100"/>
            </a:p>
          </xdr:txBody>
        </xdr:sp>
        <xdr:cxnSp macro="">
          <xdr:nvCxnSpPr>
            <xdr:cNvPr id="11" name="Straight Connector 10">
              <a:extLst>
                <a:ext uri="{FF2B5EF4-FFF2-40B4-BE49-F238E27FC236}">
                  <a16:creationId xmlns:a16="http://schemas.microsoft.com/office/drawing/2014/main" id="{6DD32CBF-FE51-42A9-BEB0-C375A333A41A}"/>
                </a:ext>
              </a:extLst>
            </xdr:cNvPr>
            <xdr:cNvCxnSpPr/>
          </xdr:nvCxnSpPr>
          <xdr:spPr>
            <a:xfrm flipV="1">
              <a:off x="438150" y="3876675"/>
              <a:ext cx="1447800" cy="1"/>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grpSp>
    <xdr:clientData/>
  </xdr:twoCellAnchor>
  <xdr:twoCellAnchor>
    <xdr:from>
      <xdr:col>1</xdr:col>
      <xdr:colOff>85724</xdr:colOff>
      <xdr:row>33</xdr:row>
      <xdr:rowOff>60169</xdr:rowOff>
    </xdr:from>
    <xdr:to>
      <xdr:col>9</xdr:col>
      <xdr:colOff>47626</xdr:colOff>
      <xdr:row>43</xdr:row>
      <xdr:rowOff>123825</xdr:rowOff>
    </xdr:to>
    <xdr:grpSp>
      <xdr:nvGrpSpPr>
        <xdr:cNvPr id="15" name="Group 14">
          <a:extLst>
            <a:ext uri="{FF2B5EF4-FFF2-40B4-BE49-F238E27FC236}">
              <a16:creationId xmlns:a16="http://schemas.microsoft.com/office/drawing/2014/main" id="{515E879F-ACA6-462C-A547-8367FA6185F1}"/>
            </a:ext>
          </a:extLst>
        </xdr:cNvPr>
        <xdr:cNvGrpSpPr/>
      </xdr:nvGrpSpPr>
      <xdr:grpSpPr>
        <a:xfrm>
          <a:off x="209549" y="6889594"/>
          <a:ext cx="7067552" cy="1968656"/>
          <a:chOff x="257174" y="6356193"/>
          <a:chExt cx="7067552" cy="1721006"/>
        </a:xfrm>
      </xdr:grpSpPr>
      <xdr:grpSp>
        <xdr:nvGrpSpPr>
          <xdr:cNvPr id="16" name="Group 15">
            <a:extLst>
              <a:ext uri="{FF2B5EF4-FFF2-40B4-BE49-F238E27FC236}">
                <a16:creationId xmlns:a16="http://schemas.microsoft.com/office/drawing/2014/main" id="{7517C3D9-147B-49DD-A890-E10B1352778A}"/>
              </a:ext>
            </a:extLst>
          </xdr:cNvPr>
          <xdr:cNvGrpSpPr/>
        </xdr:nvGrpSpPr>
        <xdr:grpSpPr>
          <a:xfrm>
            <a:off x="257174" y="6356194"/>
            <a:ext cx="2181226" cy="1710252"/>
            <a:chOff x="180974" y="3876100"/>
            <a:chExt cx="2009776" cy="1448375"/>
          </a:xfrm>
        </xdr:grpSpPr>
        <xdr:graphicFrame macro="">
          <xdr:nvGraphicFramePr>
            <xdr:cNvPr id="24" name="Chart 23">
              <a:extLst>
                <a:ext uri="{FF2B5EF4-FFF2-40B4-BE49-F238E27FC236}">
                  <a16:creationId xmlns:a16="http://schemas.microsoft.com/office/drawing/2014/main" id="{5011C5DD-16F0-4853-A4E4-2392DA68BEDC}"/>
                </a:ext>
              </a:extLst>
            </xdr:cNvPr>
            <xdr:cNvGraphicFramePr/>
          </xdr:nvGraphicFramePr>
          <xdr:xfrm>
            <a:off x="180974" y="4086224"/>
            <a:ext cx="2009776" cy="1238251"/>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25" name="TextBox 24">
              <a:extLst>
                <a:ext uri="{FF2B5EF4-FFF2-40B4-BE49-F238E27FC236}">
                  <a16:creationId xmlns:a16="http://schemas.microsoft.com/office/drawing/2014/main" id="{C9C61125-F4FC-4098-AF35-A4F2D200A96E}"/>
                </a:ext>
              </a:extLst>
            </xdr:cNvPr>
            <xdr:cNvSpPr txBox="1"/>
          </xdr:nvSpPr>
          <xdr:spPr>
            <a:xfrm>
              <a:off x="398761" y="3876100"/>
              <a:ext cx="1563805" cy="269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t>Return On equity </a:t>
              </a:r>
              <a:r>
                <a:rPr lang="en-IN" sz="1100"/>
                <a:t>(INR)</a:t>
              </a:r>
              <a:r>
                <a:rPr lang="en-IN" sz="1100" baseline="0"/>
                <a:t> Cr.</a:t>
              </a:r>
              <a:endParaRPr lang="en-IN" sz="1100"/>
            </a:p>
          </xdr:txBody>
        </xdr:sp>
        <xdr:cxnSp macro="">
          <xdr:nvCxnSpPr>
            <xdr:cNvPr id="26" name="Straight Connector 25">
              <a:extLst>
                <a:ext uri="{FF2B5EF4-FFF2-40B4-BE49-F238E27FC236}">
                  <a16:creationId xmlns:a16="http://schemas.microsoft.com/office/drawing/2014/main" id="{E11DD560-33E7-4225-BCEE-473430EB540D}"/>
                </a:ext>
              </a:extLst>
            </xdr:cNvPr>
            <xdr:cNvCxnSpPr/>
          </xdr:nvCxnSpPr>
          <xdr:spPr>
            <a:xfrm flipV="1">
              <a:off x="438150" y="3876675"/>
              <a:ext cx="1447800" cy="1"/>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grpSp>
        <xdr:nvGrpSpPr>
          <xdr:cNvPr id="17" name="Group 16">
            <a:extLst>
              <a:ext uri="{FF2B5EF4-FFF2-40B4-BE49-F238E27FC236}">
                <a16:creationId xmlns:a16="http://schemas.microsoft.com/office/drawing/2014/main" id="{8B708EE5-889D-4940-894E-61DB3AF8B40A}"/>
              </a:ext>
            </a:extLst>
          </xdr:cNvPr>
          <xdr:cNvGrpSpPr/>
        </xdr:nvGrpSpPr>
        <xdr:grpSpPr>
          <a:xfrm>
            <a:off x="2819400" y="6364107"/>
            <a:ext cx="2181226" cy="1713092"/>
            <a:chOff x="198527" y="3854101"/>
            <a:chExt cx="2009776" cy="1548108"/>
          </a:xfrm>
        </xdr:grpSpPr>
        <xdr:graphicFrame macro="">
          <xdr:nvGraphicFramePr>
            <xdr:cNvPr id="21" name="Chart 20">
              <a:extLst>
                <a:ext uri="{FF2B5EF4-FFF2-40B4-BE49-F238E27FC236}">
                  <a16:creationId xmlns:a16="http://schemas.microsoft.com/office/drawing/2014/main" id="{1E6888D8-6D57-44E2-9D74-9FB57E8AF904}"/>
                </a:ext>
              </a:extLst>
            </xdr:cNvPr>
            <xdr:cNvGraphicFramePr/>
          </xdr:nvGraphicFramePr>
          <xdr:xfrm>
            <a:off x="198527" y="4163958"/>
            <a:ext cx="2009776" cy="123825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2" name="TextBox 21">
              <a:extLst>
                <a:ext uri="{FF2B5EF4-FFF2-40B4-BE49-F238E27FC236}">
                  <a16:creationId xmlns:a16="http://schemas.microsoft.com/office/drawing/2014/main" id="{15A3AA04-0197-4CC4-A1C1-66F4E46F5326}"/>
                </a:ext>
              </a:extLst>
            </xdr:cNvPr>
            <xdr:cNvSpPr txBox="1"/>
          </xdr:nvSpPr>
          <xdr:spPr>
            <a:xfrm>
              <a:off x="460195" y="3856666"/>
              <a:ext cx="1493594" cy="269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aseline="0"/>
                <a:t>Return On Asset </a:t>
              </a:r>
              <a:r>
                <a:rPr lang="en-IN" sz="1100"/>
                <a:t>(INR)</a:t>
              </a:r>
              <a:r>
                <a:rPr lang="en-IN" sz="1100" baseline="0"/>
                <a:t> Cr.</a:t>
              </a:r>
              <a:endParaRPr lang="en-IN" sz="1100"/>
            </a:p>
          </xdr:txBody>
        </xdr:sp>
        <xdr:cxnSp macro="">
          <xdr:nvCxnSpPr>
            <xdr:cNvPr id="23" name="Straight Connector 22">
              <a:extLst>
                <a:ext uri="{FF2B5EF4-FFF2-40B4-BE49-F238E27FC236}">
                  <a16:creationId xmlns:a16="http://schemas.microsoft.com/office/drawing/2014/main" id="{B04188D9-84C4-4179-AE31-6A3EEC23C3A1}"/>
                </a:ext>
              </a:extLst>
            </xdr:cNvPr>
            <xdr:cNvCxnSpPr/>
          </xdr:nvCxnSpPr>
          <xdr:spPr>
            <a:xfrm flipV="1">
              <a:off x="464479" y="3854101"/>
              <a:ext cx="1447800" cy="1"/>
            </a:xfrm>
            <a:prstGeom prst="line">
              <a:avLst/>
            </a:prstGeom>
            <a:ln w="19050"/>
          </xdr:spPr>
          <xdr:style>
            <a:lnRef idx="1">
              <a:schemeClr val="accent1"/>
            </a:lnRef>
            <a:fillRef idx="0">
              <a:schemeClr val="accent1"/>
            </a:fillRef>
            <a:effectRef idx="0">
              <a:schemeClr val="accent1"/>
            </a:effectRef>
            <a:fontRef idx="minor">
              <a:schemeClr val="tx1"/>
            </a:fontRef>
          </xdr:style>
        </xdr:cxnSp>
      </xdr:grpSp>
      <xdr:grpSp>
        <xdr:nvGrpSpPr>
          <xdr:cNvPr id="18" name="Group 17">
            <a:extLst>
              <a:ext uri="{FF2B5EF4-FFF2-40B4-BE49-F238E27FC236}">
                <a16:creationId xmlns:a16="http://schemas.microsoft.com/office/drawing/2014/main" id="{5C6877DA-83EF-47C4-B5A9-30115FB1FD3C}"/>
              </a:ext>
            </a:extLst>
          </xdr:cNvPr>
          <xdr:cNvGrpSpPr/>
        </xdr:nvGrpSpPr>
        <xdr:grpSpPr>
          <a:xfrm>
            <a:off x="5143500" y="6356193"/>
            <a:ext cx="2181226" cy="1677997"/>
            <a:chOff x="5143500" y="6356193"/>
            <a:chExt cx="2181226" cy="1677997"/>
          </a:xfrm>
        </xdr:grpSpPr>
        <xdr:graphicFrame macro="">
          <xdr:nvGraphicFramePr>
            <xdr:cNvPr id="19" name="Chart 18">
              <a:extLst>
                <a:ext uri="{FF2B5EF4-FFF2-40B4-BE49-F238E27FC236}">
                  <a16:creationId xmlns:a16="http://schemas.microsoft.com/office/drawing/2014/main" id="{AF7689D5-6A2C-411D-A516-0336A87261DD}"/>
                </a:ext>
              </a:extLst>
            </xdr:cNvPr>
            <xdr:cNvGraphicFramePr/>
          </xdr:nvGraphicFramePr>
          <xdr:xfrm>
            <a:off x="5143500" y="6663977"/>
            <a:ext cx="2181226" cy="1370213"/>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0" name="TextBox 19">
              <a:extLst>
                <a:ext uri="{FF2B5EF4-FFF2-40B4-BE49-F238E27FC236}">
                  <a16:creationId xmlns:a16="http://schemas.microsoft.com/office/drawing/2014/main" id="{71498ADF-E5F0-4EDA-82C0-9CD84E71FB9E}"/>
                </a:ext>
              </a:extLst>
            </xdr:cNvPr>
            <xdr:cNvSpPr txBox="1"/>
          </xdr:nvSpPr>
          <xdr:spPr>
            <a:xfrm>
              <a:off x="5446540" y="6356193"/>
              <a:ext cx="1678159" cy="29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aseline="0"/>
                <a:t>Financial Levarge </a:t>
              </a:r>
              <a:r>
                <a:rPr lang="en-IN" sz="1100"/>
                <a:t>(INR)</a:t>
              </a:r>
              <a:r>
                <a:rPr lang="en-IN" sz="1100" baseline="0"/>
                <a:t> Cr.</a:t>
              </a:r>
              <a:endParaRPr lang="en-IN" sz="1100"/>
            </a:p>
          </xdr:txBody>
        </xdr:sp>
      </xdr:grpSp>
    </xdr:grpSp>
    <xdr:clientData/>
  </xdr:twoCellAnchor>
  <xdr:twoCellAnchor>
    <xdr:from>
      <xdr:col>6</xdr:col>
      <xdr:colOff>21940</xdr:colOff>
      <xdr:row>33</xdr:row>
      <xdr:rowOff>44209</xdr:rowOff>
    </xdr:from>
    <xdr:to>
      <xdr:col>8</xdr:col>
      <xdr:colOff>374049</xdr:colOff>
      <xdr:row>33</xdr:row>
      <xdr:rowOff>44210</xdr:rowOff>
    </xdr:to>
    <xdr:cxnSp macro="">
      <xdr:nvCxnSpPr>
        <xdr:cNvPr id="27" name="Straight Connector 26">
          <a:extLst>
            <a:ext uri="{FF2B5EF4-FFF2-40B4-BE49-F238E27FC236}">
              <a16:creationId xmlns:a16="http://schemas.microsoft.com/office/drawing/2014/main" id="{DDA3D0A8-0B2A-4E58-8E05-59D0AC5B72C0}"/>
            </a:ext>
          </a:extLst>
        </xdr:cNvPr>
        <xdr:cNvCxnSpPr/>
      </xdr:nvCxnSpPr>
      <xdr:spPr>
        <a:xfrm flipV="1">
          <a:off x="3679540" y="6330709"/>
          <a:ext cx="1571309" cy="1"/>
        </a:xfrm>
        <a:prstGeom prst="line">
          <a:avLst/>
        </a:prstGeom>
        <a:ln w="19050"/>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104775</xdr:colOff>
      <xdr:row>46</xdr:row>
      <xdr:rowOff>28573</xdr:rowOff>
    </xdr:from>
    <xdr:ext cx="6848475" cy="2343151"/>
    <xdr:sp macro="" textlink="">
      <xdr:nvSpPr>
        <xdr:cNvPr id="28" name="TextBox 27">
          <a:extLst>
            <a:ext uri="{FF2B5EF4-FFF2-40B4-BE49-F238E27FC236}">
              <a16:creationId xmlns:a16="http://schemas.microsoft.com/office/drawing/2014/main" id="{92C74700-A621-487F-A1FF-1D47D73530B2}"/>
            </a:ext>
          </a:extLst>
        </xdr:cNvPr>
        <xdr:cNvSpPr txBox="1"/>
      </xdr:nvSpPr>
      <xdr:spPr>
        <a:xfrm>
          <a:off x="104775" y="8791573"/>
          <a:ext cx="6848475" cy="23431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Recent Updates</a:t>
          </a:r>
        </a:p>
        <a:p>
          <a:endParaRPr lang="en-IN" sz="1100"/>
        </a:p>
        <a:p>
          <a:pPr marL="171450" indent="-171450">
            <a:buFont typeface="Wingdings" panose="05000000000000000000" pitchFamily="2" charset="2"/>
            <a:buChar char="q"/>
          </a:pPr>
          <a:r>
            <a:rPr lang="en-IN" b="1"/>
            <a:t>Strong demand outlook:</a:t>
          </a:r>
          <a:r>
            <a:rPr lang="en-IN"/>
            <a:t> Management expects India's steel demand to grow </a:t>
          </a:r>
          <a:r>
            <a:rPr lang="en-IN" b="1"/>
            <a:t>7–9% in FY27</a:t>
          </a:r>
          <a:r>
            <a:rPr lang="en-IN"/>
            <a:t>, supported by infrastructure spending, manufacturing growth, and construction activity.          </a:t>
          </a:r>
        </a:p>
        <a:p>
          <a:pPr marL="171450" indent="-171450">
            <a:buFont typeface="Wingdings" panose="05000000000000000000" pitchFamily="2" charset="2"/>
            <a:buChar char="q"/>
          </a:pPr>
          <a:r>
            <a:rPr lang="en-IN" b="1"/>
            <a:t>Robust earnings recovery:</a:t>
          </a:r>
          <a:r>
            <a:rPr lang="en-IN"/>
            <a:t> Q4 FY26 adjusted profit more than doubled YoY, driven by higher steel prices, better realizations, and healthy domestic demand. Revenue increased 14.2% YoY.                                                                                                                              </a:t>
          </a:r>
        </a:p>
        <a:p>
          <a:pPr marL="171450" indent="-171450">
            <a:buFont typeface="Wingdings" panose="05000000000000000000" pitchFamily="2" charset="2"/>
            <a:buChar char="q"/>
          </a:pPr>
          <a:r>
            <a:rPr lang="en-IN" b="1"/>
            <a:t>Large capex pipeline:</a:t>
          </a:r>
          <a:r>
            <a:rPr lang="en-IN"/>
            <a:t> The company plans </a:t>
          </a:r>
          <a:r>
            <a:rPr lang="en-IN" b="1"/>
            <a:t>₹22,000–24,000 crore capex in FY27</a:t>
          </a:r>
          <a:r>
            <a:rPr lang="en-IN"/>
            <a:t>, higher than FY26 spending, primarily for capacity expansion and operational efficiency improvements. </a:t>
          </a:r>
        </a:p>
        <a:p>
          <a:pPr marL="171450" indent="-171450">
            <a:buFont typeface="Wingdings" panose="05000000000000000000" pitchFamily="2" charset="2"/>
            <a:buChar char="q"/>
          </a:pPr>
          <a:r>
            <a:rPr lang="en-IN" b="1"/>
            <a:t>Capacity expansion remains a key focus:</a:t>
          </a:r>
          <a:r>
            <a:rPr lang="en-IN"/>
            <a:t> Management has reiterated its strategy to significantly increase domestic steelmaking capacity, believing India's structural growth story justifies aggressive expansion.</a:t>
          </a:r>
        </a:p>
        <a:p>
          <a:pPr marL="171450" indent="-171450">
            <a:buFont typeface="Wingdings" panose="05000000000000000000" pitchFamily="2" charset="2"/>
            <a:buChar char="q"/>
          </a:pPr>
          <a:r>
            <a:rPr lang="en-IN" b="1"/>
            <a:t>Margin improvement trend:</a:t>
          </a:r>
          <a:r>
            <a:rPr lang="en-IN"/>
            <a:t> EBITDA margins improved due to stronger steel prices and better operating leverage, despite elevated coking coal costs. Management expects domestic steel prices to remain broadly stable after recent increases.</a:t>
          </a:r>
          <a:endParaRPr lang="en-IN" sz="1100"/>
        </a:p>
        <a:p>
          <a:pPr marL="171450" indent="-171450">
            <a:buFont typeface="Wingdings" panose="05000000000000000000" pitchFamily="2" charset="2"/>
            <a:buChar char="q"/>
          </a:pPr>
          <a:endParaRPr lang="en-IN" sz="1100"/>
        </a:p>
        <a:p>
          <a:pPr marL="171450" indent="-171450">
            <a:buFont typeface="Wingdings" panose="05000000000000000000" pitchFamily="2" charset="2"/>
            <a:buChar char="q"/>
          </a:pPr>
          <a:endParaRPr lang="en-IN" sz="1100"/>
        </a:p>
      </xdr:txBody>
    </xdr:sp>
    <xdr:clientData/>
  </xdr:oneCellAnchor>
  <xdr:oneCellAnchor>
    <xdr:from>
      <xdr:col>1</xdr:col>
      <xdr:colOff>44450</xdr:colOff>
      <xdr:row>111</xdr:row>
      <xdr:rowOff>47623</xdr:rowOff>
    </xdr:from>
    <xdr:ext cx="7035800" cy="2619377"/>
    <xdr:sp macro="" textlink="">
      <xdr:nvSpPr>
        <xdr:cNvPr id="29" name="TextBox 28">
          <a:extLst>
            <a:ext uri="{FF2B5EF4-FFF2-40B4-BE49-F238E27FC236}">
              <a16:creationId xmlns:a16="http://schemas.microsoft.com/office/drawing/2014/main" id="{CF04AFA3-1673-47E5-AE07-CA8F195FA932}"/>
            </a:ext>
          </a:extLst>
        </xdr:cNvPr>
        <xdr:cNvSpPr txBox="1"/>
      </xdr:nvSpPr>
      <xdr:spPr>
        <a:xfrm>
          <a:off x="654050" y="21764623"/>
          <a:ext cx="7035800" cy="2619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DuPont</a:t>
          </a:r>
          <a:r>
            <a:rPr lang="en-IN" sz="1100" b="1" baseline="0"/>
            <a:t> Analysis</a:t>
          </a:r>
        </a:p>
        <a:p>
          <a:endParaRPr lang="en-IN" sz="1100" baseline="0"/>
        </a:p>
        <a:p>
          <a:pPr marL="171450" indent="-171450">
            <a:buFont typeface="Wingdings" panose="05000000000000000000" pitchFamily="2" charset="2"/>
            <a:buChar char="q"/>
          </a:pPr>
          <a:endParaRPr lang="en-IN" sz="1100"/>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q"/>
            <a:tabLst/>
            <a:defRPr/>
          </a:pPr>
          <a:r>
            <a:rPr lang="en-IN" sz="1100"/>
            <a:t>ROE of JSW Steel</a:t>
          </a:r>
          <a:r>
            <a:rPr lang="en-IN" sz="1100" baseline="0"/>
            <a:t> Ltd has been grown form 7.5% to 16% from FY2020 to FY2026 . </a:t>
          </a:r>
          <a:r>
            <a:rPr lang="en-IN" sz="1100" baseline="0">
              <a:solidFill>
                <a:schemeClr val="tx1"/>
              </a:solidFill>
              <a:effectLst/>
              <a:latin typeface="+mn-lt"/>
              <a:ea typeface="+mn-ea"/>
              <a:cs typeface="+mn-cs"/>
            </a:rPr>
            <a:t>. Both equity multiplyer and asset turnover ratio has decreased reasonable</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q"/>
            <a:tabLst/>
            <a:defRPr/>
          </a:pPr>
          <a:r>
            <a:rPr lang="en-IN" sz="1100" baseline="0">
              <a:solidFill>
                <a:schemeClr val="tx1"/>
              </a:solidFill>
              <a:effectLst/>
              <a:latin typeface="+mn-lt"/>
              <a:ea typeface="+mn-ea"/>
              <a:cs typeface="+mn-cs"/>
            </a:rPr>
            <a:t>Return on Equity of JSW Steel Ltd. is highest on FY 2026 with 16% and lowest in FY in 2025 with 3%.  But we can see ROE has grown throught the years ,showing increase in profit on shareholders </a:t>
          </a:r>
          <a:endParaRPr lang="en-IN" sz="1100" baseline="0"/>
        </a:p>
        <a:p>
          <a:pPr marL="171450" indent="-171450">
            <a:buFont typeface="Wingdings" panose="05000000000000000000" pitchFamily="2" charset="2"/>
            <a:buChar char="q"/>
          </a:pPr>
          <a:r>
            <a:rPr lang="en-IN" sz="1100" baseline="0"/>
            <a:t>Return on asset of PERSISTENT Ltd. is grown on yoy from 3.27% to 8.75% and the reason behind this growth is increase in net profit margin</a:t>
          </a:r>
        </a:p>
        <a:p>
          <a:pPr marL="171450" indent="-171450">
            <a:buFont typeface="Wingdings" panose="05000000000000000000" pitchFamily="2" charset="2"/>
            <a:buChar char="q"/>
          </a:pPr>
          <a:endParaRPr lang="en-IN" sz="1100" baseline="0"/>
        </a:p>
        <a:p>
          <a:pPr marL="171450" indent="-171450">
            <a:buFont typeface="Wingdings" panose="05000000000000000000" pitchFamily="2" charset="2"/>
            <a:buChar char="q"/>
          </a:pPr>
          <a:endParaRPr lang="en-IN" sz="1100" baseline="0"/>
        </a:p>
        <a:p>
          <a:pPr marL="0" marR="0" lvl="0" indent="0" defTabSz="914400" eaLnBrk="1" fontAlgn="auto" latinLnBrk="0" hangingPunct="1">
            <a:lnSpc>
              <a:spcPct val="100000"/>
            </a:lnSpc>
            <a:spcBef>
              <a:spcPts val="0"/>
            </a:spcBef>
            <a:spcAft>
              <a:spcPts val="0"/>
            </a:spcAft>
            <a:buClrTx/>
            <a:buSzTx/>
            <a:buFontTx/>
            <a:buNone/>
            <a:tabLst/>
            <a:defRPr/>
          </a:pPr>
          <a:r>
            <a:rPr lang="en-IN" sz="800" i="1" baseline="0">
              <a:solidFill>
                <a:schemeClr val="tx1"/>
              </a:solidFill>
              <a:effectLst/>
              <a:latin typeface="+mn-lt"/>
              <a:ea typeface="+mn-ea"/>
              <a:cs typeface="+mn-cs"/>
            </a:rPr>
            <a:t>Diclaimer - this report is for educatonal purpose only. The auothor of this reports is not liable for any losses due to the investment made on the basis of this report . Consult SEBI registerd advisor befor making any investment.</a:t>
          </a:r>
          <a:endParaRPr lang="en-IN" sz="800">
            <a:effectLst/>
          </a:endParaRPr>
        </a:p>
        <a:p>
          <a:pPr marL="171450" indent="-171450">
            <a:buFont typeface="Wingdings" panose="05000000000000000000" pitchFamily="2" charset="2"/>
            <a:buChar char="q"/>
          </a:pPr>
          <a:endParaRPr lang="en-IN" sz="1100" baseline="0"/>
        </a:p>
      </xdr:txBody>
    </xdr:sp>
    <xdr:clientData/>
  </xdr:oneCellAnchor>
  <xdr:oneCellAnchor>
    <xdr:from>
      <xdr:col>5</xdr:col>
      <xdr:colOff>228600</xdr:colOff>
      <xdr:row>1</xdr:row>
      <xdr:rowOff>161924</xdr:rowOff>
    </xdr:from>
    <xdr:ext cx="2143124" cy="1171575"/>
    <xdr:pic>
      <xdr:nvPicPr>
        <xdr:cNvPr id="30" name="Picture 29">
          <a:extLst>
            <a:ext uri="{FF2B5EF4-FFF2-40B4-BE49-F238E27FC236}">
              <a16:creationId xmlns:a16="http://schemas.microsoft.com/office/drawing/2014/main" id="{D7D9DC63-979A-4F4F-9827-E41B209279C5}"/>
            </a:ext>
          </a:extLst>
        </xdr:cNvPr>
        <xdr:cNvPicPr>
          <a:picLocks noChangeAspect="1"/>
        </xdr:cNvPicPr>
      </xdr:nvPicPr>
      <xdr:blipFill rotWithShape="1">
        <a:blip xmlns:r="http://schemas.openxmlformats.org/officeDocument/2006/relationships" r:embed="rId7"/>
        <a:srcRect t="24000" b="21333"/>
        <a:stretch/>
      </xdr:blipFill>
      <xdr:spPr>
        <a:xfrm>
          <a:off x="3276600" y="352424"/>
          <a:ext cx="2143124" cy="1171575"/>
        </a:xfrm>
        <a:prstGeom prst="rect">
          <a:avLst/>
        </a:prstGeom>
        <a:solidFill>
          <a:srgbClr val="2744A0"/>
        </a:solidFill>
      </xdr:spPr>
    </xdr:pic>
    <xdr:clientData/>
  </xdr:oneCellAnchor>
</xdr:wsDr>
</file>

<file path=xl/drawings/drawing2.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3.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6.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drawings/drawing7.xml><?xml version="1.0" encoding="utf-8"?>
<c:userShapes xmlns:c="http://schemas.openxmlformats.org/drawingml/2006/chart">
  <cdr:relSizeAnchor xmlns:cdr="http://schemas.openxmlformats.org/drawingml/2006/chartDrawing">
    <cdr:from>
      <cdr:x>0.22749</cdr:x>
      <cdr:y>0.3421</cdr:y>
    </cdr:from>
    <cdr:to>
      <cdr:x>0.68246</cdr:x>
      <cdr:y>0.75658</cdr:y>
    </cdr:to>
    <cdr:sp macro="" textlink="">
      <cdr:nvSpPr>
        <cdr:cNvPr id="2" name="TextBox 1">
          <a:extLst xmlns:a="http://schemas.openxmlformats.org/drawingml/2006/main">
            <a:ext uri="{FF2B5EF4-FFF2-40B4-BE49-F238E27FC236}">
              <a16:creationId xmlns:a16="http://schemas.microsoft.com/office/drawing/2014/main" id="{B66050B7-EC28-42E0-B59F-7305B6EFB9A0}"/>
            </a:ext>
          </a:extLst>
        </cdr:cNvPr>
        <cdr:cNvSpPr txBox="1"/>
      </cdr:nvSpPr>
      <cdr:spPr>
        <a:xfrm xmlns:a="http://schemas.openxmlformats.org/drawingml/2006/main">
          <a:off x="457201" y="495298"/>
          <a:ext cx="914400" cy="60007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yash%20malra/Downloads/personal%20financial%20model/persistent%20system%20(%20AI%20sector)/DCF%20Model/Persistent%20System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sh%20malra/Downloads/JSW%20Steel%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yash%20malra/Downloads/JSW%20Steel%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Quarters"/>
      <sheetName val="Balance Sheet"/>
      <sheetName val="Cash Flow"/>
      <sheetName val="Customization"/>
      <sheetName val="Historical"/>
      <sheetName val="Ratio Analysis"/>
      <sheetName val="DuPont Analysis"/>
      <sheetName val="Altman z score"/>
      <sheetName val="Benish Model"/>
      <sheetName val="CFs "/>
      <sheetName val="Cash flow data sheet"/>
      <sheetName val="Research report"/>
      <sheetName val="DCF Model"/>
      <sheetName val="FCFF"/>
      <sheetName val="Growth"/>
      <sheetName val="WACC"/>
      <sheetName val="Conclusion"/>
      <sheetName val="One pager report"/>
      <sheetName val="Common Size"/>
      <sheetName val="Sheet1"/>
      <sheetName val="Data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8">
          <cell r="F18">
            <v>0.01</v>
          </cell>
        </row>
        <row r="20">
          <cell r="F20">
            <v>7.0000000000000007E-2</v>
          </cell>
        </row>
        <row r="21">
          <cell r="F21">
            <v>4.9999999999999989E-2</v>
          </cell>
        </row>
        <row r="22">
          <cell r="F22">
            <v>0.25</v>
          </cell>
        </row>
      </sheetData>
      <sheetData sheetId="15"/>
      <sheetData sheetId="16"/>
      <sheetData sheetId="17"/>
      <sheetData sheetId="18"/>
      <sheetData sheetId="19"/>
      <sheetData sheetId="20"/>
      <sheetData sheetId="21">
        <row r="1">
          <cell r="B1" t="str">
            <v>PERSISTENT SYSTEMS LTD</v>
          </cell>
          <cell r="E1" t="str">
            <v>PERSISTENT SYSTEMS LTD</v>
          </cell>
        </row>
        <row r="56">
          <cell r="E56">
            <v>43921</v>
          </cell>
          <cell r="F56">
            <v>44286</v>
          </cell>
          <cell r="G56">
            <v>44651</v>
          </cell>
          <cell r="H56">
            <v>45016</v>
          </cell>
          <cell r="I56">
            <v>45382</v>
          </cell>
          <cell r="J56">
            <v>45747</v>
          </cell>
          <cell r="K56">
            <v>46112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Quarters"/>
      <sheetName val="Balance Sheet"/>
      <sheetName val="Cash Flow"/>
      <sheetName val="Customization"/>
      <sheetName val="Data Sheet"/>
    </sheetNames>
    <sheetDataSet>
      <sheetData sheetId="0"/>
      <sheetData sheetId="1"/>
      <sheetData sheetId="2"/>
      <sheetData sheetId="3"/>
      <sheetData sheetId="4"/>
      <sheetData sheetId="5">
        <row r="1">
          <cell r="B1" t="str">
            <v>JSW STEEL LTD</v>
          </cell>
          <cell r="E1" t="str">
            <v>JSW STEEL LTD</v>
          </cell>
        </row>
        <row r="8">
          <cell r="B8">
            <v>1284</v>
          </cell>
        </row>
        <row r="17">
          <cell r="E17">
            <v>73326</v>
          </cell>
          <cell r="F17">
            <v>79839</v>
          </cell>
          <cell r="G17">
            <v>146371</v>
          </cell>
          <cell r="H17">
            <v>165960</v>
          </cell>
          <cell r="I17">
            <v>175006</v>
          </cell>
          <cell r="J17">
            <v>168824</v>
          </cell>
          <cell r="K17">
            <v>185470</v>
          </cell>
        </row>
        <row r="30">
          <cell r="E30">
            <v>4030</v>
          </cell>
          <cell r="F30">
            <v>7911</v>
          </cell>
          <cell r="G30">
            <v>20665</v>
          </cell>
          <cell r="H30">
            <v>4144</v>
          </cell>
          <cell r="I30">
            <v>8812</v>
          </cell>
          <cell r="J30">
            <v>3504</v>
          </cell>
          <cell r="K30">
            <v>22316</v>
          </cell>
        </row>
        <row r="56">
          <cell r="E56">
            <v>43921</v>
          </cell>
          <cell r="F56">
            <v>44286</v>
          </cell>
          <cell r="G56">
            <v>44651</v>
          </cell>
          <cell r="H56">
            <v>45016</v>
          </cell>
          <cell r="I56">
            <v>45382</v>
          </cell>
          <cell r="J56">
            <v>45747</v>
          </cell>
          <cell r="K56">
            <v>46112</v>
          </cell>
        </row>
        <row r="57">
          <cell r="D57">
            <v>301</v>
          </cell>
          <cell r="E57">
            <v>301</v>
          </cell>
          <cell r="F57">
            <v>302</v>
          </cell>
          <cell r="G57">
            <v>301</v>
          </cell>
          <cell r="H57">
            <v>301</v>
          </cell>
          <cell r="I57">
            <v>305</v>
          </cell>
          <cell r="J57">
            <v>305</v>
          </cell>
          <cell r="K57">
            <v>305</v>
          </cell>
        </row>
        <row r="58">
          <cell r="D58">
            <v>34494</v>
          </cell>
          <cell r="E58">
            <v>36298</v>
          </cell>
          <cell r="F58">
            <v>45308</v>
          </cell>
          <cell r="G58">
            <v>66996</v>
          </cell>
          <cell r="H58">
            <v>65394</v>
          </cell>
          <cell r="I58">
            <v>77364</v>
          </cell>
          <cell r="J58">
            <v>79191</v>
          </cell>
          <cell r="K58">
            <v>99748</v>
          </cell>
        </row>
        <row r="66">
          <cell r="D66">
            <v>114797</v>
          </cell>
          <cell r="E66">
            <v>131820</v>
          </cell>
          <cell r="F66">
            <v>147163</v>
          </cell>
          <cell r="G66">
            <v>196485</v>
          </cell>
          <cell r="H66">
            <v>210539</v>
          </cell>
          <cell r="I66">
            <v>227898</v>
          </cell>
          <cell r="J66">
            <v>240445</v>
          </cell>
          <cell r="K66">
            <v>269676</v>
          </cell>
        </row>
        <row r="81">
          <cell r="E81">
            <v>43921</v>
          </cell>
          <cell r="F81">
            <v>44286</v>
          </cell>
          <cell r="G81">
            <v>44651</v>
          </cell>
          <cell r="H81">
            <v>45016</v>
          </cell>
          <cell r="I81">
            <v>45382</v>
          </cell>
          <cell r="J81">
            <v>45747</v>
          </cell>
          <cell r="K81">
            <v>46112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amp; Loss"/>
      <sheetName val="Quarters"/>
      <sheetName val="Balance Sheet"/>
      <sheetName val="Cash Flow"/>
      <sheetName val="Customization"/>
      <sheetName val="Historical"/>
      <sheetName val="Common Size"/>
      <sheetName val="Ratio Analysis"/>
      <sheetName val="DuPont Analysis"/>
      <sheetName val="Altman z score"/>
      <sheetName val="DCF Model"/>
      <sheetName val="FCFF"/>
      <sheetName val="Growth"/>
      <sheetName val="WACC"/>
      <sheetName val="Conclusion"/>
      <sheetName val="Data Sheet"/>
    </sheetNames>
    <sheetDataSet>
      <sheetData sheetId="0"/>
      <sheetData sheetId="1"/>
      <sheetData sheetId="2"/>
      <sheetData sheetId="3"/>
      <sheetData sheetId="4"/>
      <sheetData sheetId="5">
        <row r="22">
          <cell r="F22">
            <v>11524</v>
          </cell>
          <cell r="G22">
            <v>20651</v>
          </cell>
          <cell r="H22">
            <v>40714</v>
          </cell>
          <cell r="I22">
            <v>20031</v>
          </cell>
          <cell r="J22">
            <v>29657</v>
          </cell>
          <cell r="K22">
            <v>22798</v>
          </cell>
          <cell r="L22">
            <v>47953</v>
          </cell>
        </row>
        <row r="28">
          <cell r="F28">
            <v>4246</v>
          </cell>
          <cell r="G28">
            <v>4679</v>
          </cell>
          <cell r="H28">
            <v>6001</v>
          </cell>
          <cell r="I28">
            <v>7474</v>
          </cell>
          <cell r="J28">
            <v>8172</v>
          </cell>
          <cell r="K28">
            <v>9309</v>
          </cell>
          <cell r="L28">
            <v>9601</v>
          </cell>
        </row>
        <row r="37">
          <cell r="F37">
            <v>3919</v>
          </cell>
          <cell r="G37">
            <v>7873</v>
          </cell>
          <cell r="H37">
            <v>20938</v>
          </cell>
          <cell r="I37">
            <v>4139</v>
          </cell>
          <cell r="J37">
            <v>8973</v>
          </cell>
          <cell r="K37">
            <v>3491</v>
          </cell>
          <cell r="L37">
            <v>25508</v>
          </cell>
        </row>
        <row r="48">
          <cell r="F48">
            <v>0.84638938504720596</v>
          </cell>
          <cell r="G48">
            <v>0.75066683602184681</v>
          </cell>
          <cell r="H48">
            <v>0.75058028464991877</v>
          </cell>
          <cell r="I48">
            <v>0.75274220826286542</v>
          </cell>
          <cell r="J48">
            <v>0.75186671124484561</v>
          </cell>
          <cell r="K48">
            <v>0.7553709538814094</v>
          </cell>
          <cell r="L48">
            <v>0.91510506507762268</v>
          </cell>
        </row>
      </sheetData>
      <sheetData sheetId="6"/>
      <sheetData sheetId="7"/>
      <sheetData sheetId="8"/>
      <sheetData sheetId="9"/>
      <sheetData sheetId="10"/>
      <sheetData sheetId="11"/>
      <sheetData sheetId="12"/>
      <sheetData sheetId="13"/>
      <sheetData sheetId="14"/>
      <sheetData sheetId="15">
        <row r="9">
          <cell r="B9">
            <v>313996.28999999998</v>
          </cell>
        </row>
        <row r="42">
          <cell r="E42">
            <v>39684</v>
          </cell>
          <cell r="F42">
            <v>41378</v>
          </cell>
          <cell r="G42">
            <v>44819</v>
          </cell>
          <cell r="H42">
            <v>43147</v>
          </cell>
          <cell r="I42">
            <v>45152</v>
          </cell>
          <cell r="J42">
            <v>45991</v>
          </cell>
          <cell r="K42">
            <v>51180</v>
          </cell>
        </row>
        <row r="56">
          <cell r="E56">
            <v>43921</v>
          </cell>
          <cell r="F56">
            <v>44286</v>
          </cell>
          <cell r="G56">
            <v>44651</v>
          </cell>
          <cell r="H56">
            <v>45016</v>
          </cell>
          <cell r="I56">
            <v>45382</v>
          </cell>
          <cell r="J56">
            <v>45747</v>
          </cell>
          <cell r="K56">
            <v>46112</v>
          </cell>
        </row>
        <row r="59">
          <cell r="E59">
            <v>61423</v>
          </cell>
          <cell r="F59">
            <v>66727</v>
          </cell>
          <cell r="G59">
            <v>72237</v>
          </cell>
          <cell r="H59">
            <v>80853</v>
          </cell>
          <cell r="I59">
            <v>87984</v>
          </cell>
          <cell r="J59">
            <v>98752</v>
          </cell>
          <cell r="K59">
            <v>99310</v>
          </cell>
        </row>
        <row r="60">
          <cell r="E60">
            <v>33798</v>
          </cell>
          <cell r="F60">
            <v>34826</v>
          </cell>
          <cell r="G60">
            <v>56951</v>
          </cell>
          <cell r="H60">
            <v>63991</v>
          </cell>
          <cell r="I60">
            <v>62245</v>
          </cell>
          <cell r="J60">
            <v>62197</v>
          </cell>
          <cell r="K60">
            <v>70313</v>
          </cell>
        </row>
        <row r="65">
          <cell r="E65">
            <v>41285</v>
          </cell>
          <cell r="F65">
            <v>42253</v>
          </cell>
          <cell r="G65">
            <v>74760</v>
          </cell>
          <cell r="H65">
            <v>79115</v>
          </cell>
          <cell r="I65">
            <v>78515</v>
          </cell>
          <cell r="J65">
            <v>79755</v>
          </cell>
          <cell r="K65">
            <v>120014</v>
          </cell>
        </row>
        <row r="66">
          <cell r="E66">
            <v>131820</v>
          </cell>
          <cell r="F66">
            <v>147163</v>
          </cell>
          <cell r="G66">
            <v>196485</v>
          </cell>
          <cell r="H66">
            <v>210539</v>
          </cell>
          <cell r="I66">
            <v>227898</v>
          </cell>
          <cell r="J66">
            <v>240445</v>
          </cell>
          <cell r="K66">
            <v>269676</v>
          </cell>
        </row>
        <row r="70">
          <cell r="E70">
            <v>3011711464</v>
          </cell>
          <cell r="F70">
            <v>3015766346</v>
          </cell>
          <cell r="G70">
            <v>3016603583</v>
          </cell>
          <cell r="H70">
            <v>3020456419</v>
          </cell>
          <cell r="I70">
            <v>3052602319</v>
          </cell>
          <cell r="J70">
            <v>3052602319</v>
          </cell>
        </row>
        <row r="90">
          <cell r="E90">
            <v>146.25</v>
          </cell>
          <cell r="F90">
            <v>468.45</v>
          </cell>
          <cell r="G90">
            <v>732.65</v>
          </cell>
          <cell r="H90">
            <v>688.1</v>
          </cell>
          <cell r="I90">
            <v>830.2</v>
          </cell>
          <cell r="J90">
            <v>1063.2</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www.screener.in/"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25"/>
  <sheetViews>
    <sheetView zoomScaleNormal="10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F1" sqref="F1"/>
    </sheetView>
  </sheetViews>
  <sheetFormatPr defaultColWidth="8.85546875" defaultRowHeight="15" x14ac:dyDescent="0.25"/>
  <cols>
    <col min="1" max="1" width="20.7109375" style="6" customWidth="1"/>
    <col min="2" max="6" width="13.42578125" style="6" customWidth="1"/>
    <col min="7" max="7" width="14.85546875" style="6" bestFit="1" customWidth="1"/>
    <col min="8" max="11" width="13.42578125" style="6" customWidth="1"/>
    <col min="12" max="12" width="13.28515625" style="6" customWidth="1"/>
    <col min="13" max="14" width="12.140625" style="6" customWidth="1"/>
    <col min="15" max="16384" width="8.85546875" style="6"/>
  </cols>
  <sheetData>
    <row r="1" spans="1:14" s="8" customFormat="1" x14ac:dyDescent="0.25">
      <c r="A1" s="8" t="str">
        <f>'Data Sheet'!B1</f>
        <v>JSW STEEL LTD</v>
      </c>
      <c r="F1" s="32"/>
      <c r="H1" t="str">
        <f>UPDATE</f>
        <v>JSW STEEL LTD</v>
      </c>
      <c r="J1" s="3"/>
      <c r="K1" s="3"/>
      <c r="M1" s="8" t="s">
        <v>1</v>
      </c>
    </row>
    <row r="3" spans="1:14" s="2" customFormat="1" x14ac:dyDescent="0.25">
      <c r="A3" s="15" t="s">
        <v>2</v>
      </c>
      <c r="B3" s="16">
        <f>'Data Sheet'!B16</f>
        <v>42825</v>
      </c>
      <c r="C3" s="16">
        <f>'Data Sheet'!C16</f>
        <v>43190</v>
      </c>
      <c r="D3" s="16">
        <f>'Data Sheet'!D16</f>
        <v>43555</v>
      </c>
      <c r="E3" s="16">
        <f>'Data Sheet'!E16</f>
        <v>43921</v>
      </c>
      <c r="F3" s="16">
        <f>'Data Sheet'!F16</f>
        <v>44286</v>
      </c>
      <c r="G3" s="16">
        <f>'Data Sheet'!G16</f>
        <v>44651</v>
      </c>
      <c r="H3" s="16">
        <f>'Data Sheet'!H16</f>
        <v>45016</v>
      </c>
      <c r="I3" s="16">
        <f>'Data Sheet'!I16</f>
        <v>45382</v>
      </c>
      <c r="J3" s="16">
        <f>'Data Sheet'!J16</f>
        <v>45747</v>
      </c>
      <c r="K3" s="16">
        <f>'Data Sheet'!K16</f>
        <v>46112</v>
      </c>
      <c r="L3" s="17" t="s">
        <v>3</v>
      </c>
      <c r="M3" s="17" t="s">
        <v>4</v>
      </c>
      <c r="N3" s="17" t="s">
        <v>5</v>
      </c>
    </row>
    <row r="4" spans="1:14" s="8" customFormat="1" x14ac:dyDescent="0.25">
      <c r="A4" s="8" t="s">
        <v>6</v>
      </c>
      <c r="B4" s="1">
        <f>'Data Sheet'!B17</f>
        <v>55604</v>
      </c>
      <c r="C4" s="1">
        <f>'Data Sheet'!C17</f>
        <v>71933</v>
      </c>
      <c r="D4" s="1">
        <f>'Data Sheet'!D17</f>
        <v>84757</v>
      </c>
      <c r="E4" s="1">
        <f>'Data Sheet'!E17</f>
        <v>73326</v>
      </c>
      <c r="F4" s="1">
        <f>'Data Sheet'!F17</f>
        <v>79839</v>
      </c>
      <c r="G4" s="1">
        <f>'Data Sheet'!G17</f>
        <v>146371</v>
      </c>
      <c r="H4" s="1">
        <f>'Data Sheet'!H17</f>
        <v>165960</v>
      </c>
      <c r="I4" s="1">
        <f>'Data Sheet'!I17</f>
        <v>175006</v>
      </c>
      <c r="J4" s="1">
        <f>'Data Sheet'!J17</f>
        <v>168824</v>
      </c>
      <c r="K4" s="1">
        <f>'Data Sheet'!K17</f>
        <v>185470</v>
      </c>
      <c r="L4" s="1">
        <f>SUM(Quarters!H4:K4)</f>
        <v>185470</v>
      </c>
      <c r="M4" s="1">
        <f>$K4+M23*K4</f>
        <v>203757.29102497274</v>
      </c>
      <c r="N4" s="1">
        <f>$K4+N23*L4</f>
        <v>192470.31358899715</v>
      </c>
    </row>
    <row r="5" spans="1:14" x14ac:dyDescent="0.25">
      <c r="A5" s="6" t="s">
        <v>7</v>
      </c>
      <c r="B5" s="9">
        <f>SUM('Data Sheet'!B18,'Data Sheet'!B20:B24, -1*'Data Sheet'!B19)</f>
        <v>43296</v>
      </c>
      <c r="C5" s="9">
        <f>SUM('Data Sheet'!C18,'Data Sheet'!C20:C24, -1*'Data Sheet'!C19)</f>
        <v>57017</v>
      </c>
      <c r="D5" s="9">
        <f>SUM('Data Sheet'!D18,'Data Sheet'!D20:D24, -1*'Data Sheet'!D19)</f>
        <v>65827</v>
      </c>
      <c r="E5" s="9">
        <f>SUM('Data Sheet'!E18,'Data Sheet'!E20:E24, -1*'Data Sheet'!E19)</f>
        <v>61513</v>
      </c>
      <c r="F5" s="9">
        <f>SUM('Data Sheet'!F18,'Data Sheet'!F20:F24, -1*'Data Sheet'!F19)</f>
        <v>59661</v>
      </c>
      <c r="G5" s="9">
        <f>SUM('Data Sheet'!G18,'Data Sheet'!G20:G24, -1*'Data Sheet'!G19)</f>
        <v>107257</v>
      </c>
      <c r="H5" s="9">
        <f>SUM('Data Sheet'!H18,'Data Sheet'!H20:H24, -1*'Data Sheet'!H19)</f>
        <v>147490</v>
      </c>
      <c r="I5" s="9">
        <f>SUM('Data Sheet'!I18,'Data Sheet'!I20:I24, -1*'Data Sheet'!I19)</f>
        <v>146849</v>
      </c>
      <c r="J5" s="9">
        <f>SUM('Data Sheet'!J18,'Data Sheet'!J20:J24, -1*'Data Sheet'!J19)</f>
        <v>146099</v>
      </c>
      <c r="K5" s="9">
        <f>SUM('Data Sheet'!K18,'Data Sheet'!K20:K24, -1*'Data Sheet'!K19)</f>
        <v>156124</v>
      </c>
      <c r="L5" s="9">
        <f>SUM(Quarters!H5:K5)</f>
        <v>156124</v>
      </c>
      <c r="M5" s="9">
        <f t="shared" ref="M5:N5" si="0">M4-M6</f>
        <v>171517.78349049899</v>
      </c>
      <c r="N5" s="9">
        <f t="shared" si="0"/>
        <v>163296.86125833768</v>
      </c>
    </row>
    <row r="6" spans="1:14" s="8" customFormat="1" x14ac:dyDescent="0.25">
      <c r="A6" s="8" t="s">
        <v>8</v>
      </c>
      <c r="B6" s="1">
        <f>B4-B5</f>
        <v>12308</v>
      </c>
      <c r="C6" s="1">
        <f t="shared" ref="C6:K6" si="1">C4-C5</f>
        <v>14916</v>
      </c>
      <c r="D6" s="1">
        <f t="shared" si="1"/>
        <v>18930</v>
      </c>
      <c r="E6" s="1">
        <f t="shared" si="1"/>
        <v>11813</v>
      </c>
      <c r="F6" s="1">
        <f t="shared" si="1"/>
        <v>20178</v>
      </c>
      <c r="G6" s="1">
        <f t="shared" si="1"/>
        <v>39114</v>
      </c>
      <c r="H6" s="1">
        <f t="shared" si="1"/>
        <v>18470</v>
      </c>
      <c r="I6" s="1">
        <f t="shared" si="1"/>
        <v>28157</v>
      </c>
      <c r="J6" s="1">
        <f t="shared" si="1"/>
        <v>22725</v>
      </c>
      <c r="K6" s="1">
        <f t="shared" si="1"/>
        <v>29346</v>
      </c>
      <c r="L6" s="1">
        <f>SUM(Quarters!H6:K6)</f>
        <v>29346</v>
      </c>
      <c r="M6" s="1">
        <f>M4*M24</f>
        <v>32239.507534473767</v>
      </c>
      <c r="N6" s="1">
        <f>N4*N24</f>
        <v>29173.452330659478</v>
      </c>
    </row>
    <row r="7" spans="1:14" x14ac:dyDescent="0.25">
      <c r="A7" s="6" t="s">
        <v>9</v>
      </c>
      <c r="B7" s="9">
        <f>'Data Sheet'!B25</f>
        <v>18</v>
      </c>
      <c r="C7" s="9">
        <f>'Data Sheet'!C25</f>
        <v>-177</v>
      </c>
      <c r="D7" s="9">
        <f>'Data Sheet'!D25</f>
        <v>196</v>
      </c>
      <c r="E7" s="9">
        <f>'Data Sheet'!E25</f>
        <v>-289</v>
      </c>
      <c r="F7" s="9">
        <f>'Data Sheet'!F25</f>
        <v>473</v>
      </c>
      <c r="G7" s="9">
        <f>'Data Sheet'!G25</f>
        <v>1600</v>
      </c>
      <c r="H7" s="9">
        <f>'Data Sheet'!H25</f>
        <v>1561</v>
      </c>
      <c r="I7" s="9">
        <f>'Data Sheet'!I25</f>
        <v>1500</v>
      </c>
      <c r="J7" s="9">
        <f>'Data Sheet'!J25</f>
        <v>73</v>
      </c>
      <c r="K7" s="9">
        <f>'Data Sheet'!K25</f>
        <v>18607</v>
      </c>
      <c r="L7" s="9">
        <f>SUM(Quarters!H7:K7)</f>
        <v>18607</v>
      </c>
      <c r="M7" s="9">
        <v>0</v>
      </c>
      <c r="N7" s="9">
        <v>0</v>
      </c>
    </row>
    <row r="8" spans="1:14" x14ac:dyDescent="0.25">
      <c r="A8" s="6" t="s">
        <v>10</v>
      </c>
      <c r="B8" s="9">
        <f>'Data Sheet'!B26</f>
        <v>3430</v>
      </c>
      <c r="C8" s="9">
        <f>'Data Sheet'!C26</f>
        <v>3387</v>
      </c>
      <c r="D8" s="9">
        <f>'Data Sheet'!D26</f>
        <v>4041</v>
      </c>
      <c r="E8" s="9">
        <f>'Data Sheet'!E26</f>
        <v>4246</v>
      </c>
      <c r="F8" s="9">
        <f>'Data Sheet'!F26</f>
        <v>4679</v>
      </c>
      <c r="G8" s="9">
        <f>'Data Sheet'!G26</f>
        <v>6001</v>
      </c>
      <c r="H8" s="9">
        <f>'Data Sheet'!H26</f>
        <v>7474</v>
      </c>
      <c r="I8" s="9">
        <f>'Data Sheet'!I26</f>
        <v>8172</v>
      </c>
      <c r="J8" s="9">
        <f>'Data Sheet'!J26</f>
        <v>9309</v>
      </c>
      <c r="K8" s="9">
        <f>'Data Sheet'!K26</f>
        <v>9601</v>
      </c>
      <c r="L8" s="9">
        <f>SUM(Quarters!H8:K8)</f>
        <v>9601</v>
      </c>
      <c r="M8" s="9">
        <f>+$L8</f>
        <v>9601</v>
      </c>
      <c r="N8" s="9">
        <f>+$L8</f>
        <v>9601</v>
      </c>
    </row>
    <row r="9" spans="1:14" x14ac:dyDescent="0.25">
      <c r="A9" s="6" t="s">
        <v>11</v>
      </c>
      <c r="B9" s="9">
        <f>'Data Sheet'!B27</f>
        <v>3768</v>
      </c>
      <c r="C9" s="9">
        <f>'Data Sheet'!C27</f>
        <v>3701</v>
      </c>
      <c r="D9" s="9">
        <f>'Data Sheet'!D27</f>
        <v>3917</v>
      </c>
      <c r="E9" s="9">
        <f>'Data Sheet'!E27</f>
        <v>4265</v>
      </c>
      <c r="F9" s="9">
        <f>'Data Sheet'!F27</f>
        <v>3957</v>
      </c>
      <c r="G9" s="9">
        <f>'Data Sheet'!G27</f>
        <v>4968</v>
      </c>
      <c r="H9" s="9">
        <f>'Data Sheet'!H27</f>
        <v>6902</v>
      </c>
      <c r="I9" s="9">
        <f>'Data Sheet'!I27</f>
        <v>8105</v>
      </c>
      <c r="J9" s="9">
        <f>'Data Sheet'!J27</f>
        <v>8412</v>
      </c>
      <c r="K9" s="9">
        <f>'Data Sheet'!K27</f>
        <v>9102</v>
      </c>
      <c r="L9" s="9">
        <f>SUM(Quarters!H9:K9)</f>
        <v>9102</v>
      </c>
      <c r="M9" s="9">
        <f>+$L9</f>
        <v>9102</v>
      </c>
      <c r="N9" s="9">
        <f>+$L9</f>
        <v>9102</v>
      </c>
    </row>
    <row r="10" spans="1:14" x14ac:dyDescent="0.25">
      <c r="A10" s="6" t="s">
        <v>12</v>
      </c>
      <c r="B10" s="9">
        <f>'Data Sheet'!B28</f>
        <v>5128</v>
      </c>
      <c r="C10" s="9">
        <f>'Data Sheet'!C28</f>
        <v>7651</v>
      </c>
      <c r="D10" s="9">
        <f>'Data Sheet'!D28</f>
        <v>11168</v>
      </c>
      <c r="E10" s="9">
        <f>'Data Sheet'!E28</f>
        <v>3013</v>
      </c>
      <c r="F10" s="9">
        <f>'Data Sheet'!F28</f>
        <v>12015</v>
      </c>
      <c r="G10" s="9">
        <f>'Data Sheet'!G28</f>
        <v>29745</v>
      </c>
      <c r="H10" s="9">
        <f>'Data Sheet'!H28</f>
        <v>5655</v>
      </c>
      <c r="I10" s="9">
        <f>'Data Sheet'!I28</f>
        <v>13380</v>
      </c>
      <c r="J10" s="9">
        <f>'Data Sheet'!J28</f>
        <v>5077</v>
      </c>
      <c r="K10" s="9">
        <f>'Data Sheet'!K28</f>
        <v>29250</v>
      </c>
      <c r="L10" s="9">
        <f>SUM(Quarters!H10:K10)</f>
        <v>29250</v>
      </c>
      <c r="M10" s="9">
        <f>M6+M7-SUM(M8:M9)</f>
        <v>13536.507534473767</v>
      </c>
      <c r="N10" s="9">
        <f>N6+N7-SUM(N8:N9)</f>
        <v>10470.452330659478</v>
      </c>
    </row>
    <row r="11" spans="1:14" x14ac:dyDescent="0.25">
      <c r="A11" s="6" t="s">
        <v>13</v>
      </c>
      <c r="B11" s="9">
        <f>'Data Sheet'!B29</f>
        <v>1674</v>
      </c>
      <c r="C11" s="9">
        <f>'Data Sheet'!C29</f>
        <v>1538</v>
      </c>
      <c r="D11" s="9">
        <f>'Data Sheet'!D29</f>
        <v>3644</v>
      </c>
      <c r="E11" s="9">
        <f>'Data Sheet'!E29</f>
        <v>-906</v>
      </c>
      <c r="F11" s="9">
        <f>'Data Sheet'!F29</f>
        <v>4142</v>
      </c>
      <c r="G11" s="9">
        <f>'Data Sheet'!G29</f>
        <v>8807</v>
      </c>
      <c r="H11" s="9">
        <f>'Data Sheet'!H29</f>
        <v>1516</v>
      </c>
      <c r="I11" s="9">
        <f>'Data Sheet'!I29</f>
        <v>4407</v>
      </c>
      <c r="J11" s="9">
        <f>'Data Sheet'!J29</f>
        <v>1586</v>
      </c>
      <c r="K11" s="9">
        <f>'Data Sheet'!K29</f>
        <v>3742</v>
      </c>
      <c r="L11" s="9">
        <f>SUM(Quarters!H11:K11)</f>
        <v>3742</v>
      </c>
      <c r="M11" s="10">
        <f>IF($L10&gt;0,$L11/$L10,0)</f>
        <v>0.12793162393162394</v>
      </c>
      <c r="N11" s="10">
        <f>IF($L10&gt;0,$L11/$L10,0)</f>
        <v>0.12793162393162394</v>
      </c>
    </row>
    <row r="12" spans="1:14" s="8" customFormat="1" x14ac:dyDescent="0.25">
      <c r="A12" s="8" t="s">
        <v>14</v>
      </c>
      <c r="B12" s="1">
        <f>'Data Sheet'!B30</f>
        <v>3523</v>
      </c>
      <c r="C12" s="1">
        <f>'Data Sheet'!C30</f>
        <v>6214</v>
      </c>
      <c r="D12" s="1">
        <f>'Data Sheet'!D30</f>
        <v>7639</v>
      </c>
      <c r="E12" s="1">
        <f>'Data Sheet'!E30</f>
        <v>4030</v>
      </c>
      <c r="F12" s="1">
        <f>'Data Sheet'!F30</f>
        <v>7911</v>
      </c>
      <c r="G12" s="1">
        <f>'Data Sheet'!G30</f>
        <v>20665</v>
      </c>
      <c r="H12" s="1">
        <f>'Data Sheet'!H30</f>
        <v>4144</v>
      </c>
      <c r="I12" s="1">
        <f>'Data Sheet'!I30</f>
        <v>8812</v>
      </c>
      <c r="J12" s="1">
        <f>'Data Sheet'!J30</f>
        <v>3504</v>
      </c>
      <c r="K12" s="1">
        <f>'Data Sheet'!K30</f>
        <v>22316</v>
      </c>
      <c r="L12" s="1">
        <f>SUM(Quarters!H12:K12)</f>
        <v>22316</v>
      </c>
      <c r="M12" s="1">
        <f>M10-M11*M10</f>
        <v>11804.760143225874</v>
      </c>
      <c r="N12" s="1">
        <f>N10-N11*N10</f>
        <v>9130.9503606995549</v>
      </c>
    </row>
    <row r="13" spans="1:14" x14ac:dyDescent="0.25">
      <c r="A13" s="11" t="s">
        <v>57</v>
      </c>
      <c r="B13" s="9">
        <f>IF('Data Sheet'!B93&gt;0,B12/'Data Sheet'!B93,0)</f>
        <v>14.57471454575542</v>
      </c>
      <c r="C13" s="9">
        <f>IF('Data Sheet'!C93&gt;0,C12/'Data Sheet'!C93,0)</f>
        <v>25.707430084395167</v>
      </c>
      <c r="D13" s="9">
        <f>IF('Data Sheet'!D93&gt;0,D12/'Data Sheet'!D93,0)</f>
        <v>31.602680787688236</v>
      </c>
      <c r="E13" s="9">
        <f>IF('Data Sheet'!E93&gt;0,E12/'Data Sheet'!E93,0)</f>
        <v>16.672182690716532</v>
      </c>
      <c r="F13" s="9">
        <f>IF('Data Sheet'!F93&gt;0,F12/'Data Sheet'!F93,0)</f>
        <v>32.727949693860666</v>
      </c>
      <c r="G13" s="9">
        <f>IF('Data Sheet'!G93&gt;0,G12/'Data Sheet'!G93,0)</f>
        <v>85.49147774284296</v>
      </c>
      <c r="H13" s="9">
        <f>IF('Data Sheet'!H93&gt;0,H12/'Data Sheet'!H93,0)</f>
        <v>17.143802746979976</v>
      </c>
      <c r="I13" s="9">
        <f>IF('Data Sheet'!I93&gt;0,I12/'Data Sheet'!I93,0)</f>
        <v>36.033530975260682</v>
      </c>
      <c r="J13" s="9">
        <f>IF('Data Sheet'!J93&gt;0,J12/'Data Sheet'!J93,0)</f>
        <v>14.328358208955223</v>
      </c>
      <c r="K13" s="9">
        <f>IF('Data Sheet'!K93&gt;0,K12/'Data Sheet'!K93,0)</f>
        <v>91.253322428951137</v>
      </c>
      <c r="L13" s="9">
        <f>IF('Data Sheet'!$B6&gt;0,'Profit &amp; Loss'!L12/'Data Sheet'!$B6,0)</f>
        <v>91.255039292031185</v>
      </c>
      <c r="M13" s="9">
        <f>IF('Data Sheet'!$B6&gt;0,'Profit &amp; Loss'!M12/'Data Sheet'!$B6,0)</f>
        <v>48.272264326182146</v>
      </c>
      <c r="N13" s="9">
        <f>IF('Data Sheet'!$B6&gt;0,'Profit &amp; Loss'!N12/'Data Sheet'!$B6,0)</f>
        <v>37.338467195699238</v>
      </c>
    </row>
    <row r="14" spans="1:14" x14ac:dyDescent="0.25">
      <c r="A14" s="6" t="s">
        <v>16</v>
      </c>
      <c r="B14" s="9">
        <f>IF(B15&gt;0,B15/B13,"")</f>
        <v>12.912774340051092</v>
      </c>
      <c r="C14" s="9">
        <f t="shared" ref="C14:K14" si="2">IF(C15&gt;0,C15/C13,"")</f>
        <v>11.2088216929514</v>
      </c>
      <c r="D14" s="9">
        <f t="shared" si="2"/>
        <v>9.2729475062180917</v>
      </c>
      <c r="E14" s="9">
        <f t="shared" si="2"/>
        <v>8.7720967741935478</v>
      </c>
      <c r="F14" s="9">
        <f t="shared" si="2"/>
        <v>14.313453924914675</v>
      </c>
      <c r="G14" s="9">
        <f t="shared" si="2"/>
        <v>8.5698600532300979</v>
      </c>
      <c r="H14" s="9">
        <f t="shared" si="2"/>
        <v>40.136952702702708</v>
      </c>
      <c r="I14" s="9">
        <f t="shared" si="2"/>
        <v>23.039651611438948</v>
      </c>
      <c r="J14" s="9">
        <f t="shared" si="2"/>
        <v>74.202500000000015</v>
      </c>
      <c r="K14" s="9">
        <f t="shared" si="2"/>
        <v>12.300921984226564</v>
      </c>
      <c r="L14" s="9">
        <f t="shared" ref="L14" si="3">IF(L13&gt;0,L15/L13,0)</f>
        <v>14.004706040509053</v>
      </c>
      <c r="M14" s="9">
        <f>M25</f>
        <v>30.886944909043645</v>
      </c>
      <c r="N14" s="9">
        <f>N25</f>
        <v>14.004706040509053</v>
      </c>
    </row>
    <row r="15" spans="1:14" s="8" customFormat="1" x14ac:dyDescent="0.25">
      <c r="A15" s="8" t="s">
        <v>58</v>
      </c>
      <c r="B15" s="1">
        <f>'Data Sheet'!B90</f>
        <v>188.2</v>
      </c>
      <c r="C15" s="1">
        <f>'Data Sheet'!C90</f>
        <v>288.14999999999998</v>
      </c>
      <c r="D15" s="1">
        <f>'Data Sheet'!D90</f>
        <v>293.05</v>
      </c>
      <c r="E15" s="1">
        <f>'Data Sheet'!E90</f>
        <v>146.25</v>
      </c>
      <c r="F15" s="1">
        <f>'Data Sheet'!F90</f>
        <v>468.45</v>
      </c>
      <c r="G15" s="1">
        <f>'Data Sheet'!G90</f>
        <v>732.65</v>
      </c>
      <c r="H15" s="1">
        <f>'Data Sheet'!H90</f>
        <v>688.1</v>
      </c>
      <c r="I15" s="1">
        <f>'Data Sheet'!I90</f>
        <v>830.2</v>
      </c>
      <c r="J15" s="1">
        <f>'Data Sheet'!J90</f>
        <v>1063.2</v>
      </c>
      <c r="K15" s="1">
        <f>'Data Sheet'!K90</f>
        <v>1122.5</v>
      </c>
      <c r="L15" s="1">
        <f>'Data Sheet'!B8</f>
        <v>1278</v>
      </c>
      <c r="M15" s="12">
        <f>M13*M14</f>
        <v>1490.9827688775808</v>
      </c>
      <c r="N15" s="13">
        <f>N13*N14</f>
        <v>522.91425707895826</v>
      </c>
    </row>
    <row r="17" spans="1:14" s="8" customFormat="1" x14ac:dyDescent="0.25">
      <c r="A17" s="8" t="s">
        <v>15</v>
      </c>
    </row>
    <row r="18" spans="1:14" x14ac:dyDescent="0.25">
      <c r="A18" s="6" t="s">
        <v>17</v>
      </c>
      <c r="B18" s="7">
        <f>IF('Data Sheet'!B30&gt;0, 'Data Sheet'!B31/'Data Sheet'!B30, 0)</f>
        <v>0.19223673005960829</v>
      </c>
      <c r="C18" s="7">
        <f>IF('Data Sheet'!C30&gt;0, 'Data Sheet'!C31/'Data Sheet'!C30, 0)</f>
        <v>0.15551979401351787</v>
      </c>
      <c r="D18" s="7">
        <f>IF('Data Sheet'!D30&gt;0, 'Data Sheet'!D31/'Data Sheet'!D30, 0)</f>
        <v>0.16155255923550202</v>
      </c>
      <c r="E18" s="7">
        <f>IF('Data Sheet'!E30&gt;0, 'Data Sheet'!E31/'Data Sheet'!E30, 0)</f>
        <v>0.14937965260545905</v>
      </c>
      <c r="F18" s="7">
        <f>IF('Data Sheet'!F30&gt;0, 'Data Sheet'!F31/'Data Sheet'!F30, 0)</f>
        <v>0.24813550752117305</v>
      </c>
      <c r="G18" s="7">
        <f>IF('Data Sheet'!G30&gt;0, 'Data Sheet'!G31/'Data Sheet'!G30, 0)</f>
        <v>0.25271473505927899</v>
      </c>
      <c r="H18" s="7">
        <f>IF('Data Sheet'!H30&gt;0, 'Data Sheet'!H31/'Data Sheet'!H30, 0)</f>
        <v>0.24695945945945946</v>
      </c>
      <c r="I18" s="7">
        <f>IF('Data Sheet'!I30&gt;0, 'Data Sheet'!I31/'Data Sheet'!I30, 0)</f>
        <v>0.25266681797548796</v>
      </c>
      <c r="J18" s="7">
        <f>IF('Data Sheet'!J30&gt;0, 'Data Sheet'!J31/'Data Sheet'!J30, 0)</f>
        <v>0.24372146118721461</v>
      </c>
      <c r="K18" s="7">
        <f>IF('Data Sheet'!K30&gt;0, 'Data Sheet'!K31/'Data Sheet'!K30, 0)</f>
        <v>9.7037999641512815E-2</v>
      </c>
    </row>
    <row r="19" spans="1:14" x14ac:dyDescent="0.25">
      <c r="A19" s="6" t="s">
        <v>18</v>
      </c>
      <c r="B19" s="7">
        <f t="shared" ref="B19:L19" si="4">IF(B6&gt;0,B6/B4,0)</f>
        <v>0.22135098194374506</v>
      </c>
      <c r="C19" s="7">
        <f t="shared" ref="C19:K19" si="5">IF(C6&gt;0,C6/C4,0)</f>
        <v>0.20735962631893567</v>
      </c>
      <c r="D19" s="7">
        <f t="shared" si="5"/>
        <v>0.22334438453461072</v>
      </c>
      <c r="E19" s="7">
        <f t="shared" si="5"/>
        <v>0.16110247388375201</v>
      </c>
      <c r="F19" s="7">
        <f t="shared" si="5"/>
        <v>0.25273362642317665</v>
      </c>
      <c r="G19" s="7">
        <f t="shared" si="5"/>
        <v>0.26722506507436583</v>
      </c>
      <c r="H19" s="7">
        <f t="shared" si="5"/>
        <v>0.11129187756085804</v>
      </c>
      <c r="I19" s="7">
        <f t="shared" si="5"/>
        <v>0.16089162657280323</v>
      </c>
      <c r="J19" s="7">
        <f t="shared" si="5"/>
        <v>0.134607638724352</v>
      </c>
      <c r="K19" s="7">
        <f t="shared" si="5"/>
        <v>0.15822504987329486</v>
      </c>
      <c r="L19" s="7">
        <f t="shared" si="4"/>
        <v>0.15822504987329486</v>
      </c>
    </row>
    <row r="20" spans="1:14" x14ac:dyDescent="0.25">
      <c r="B20" s="7"/>
      <c r="C20" s="7"/>
      <c r="D20" s="7"/>
      <c r="E20" s="7"/>
      <c r="F20" s="7"/>
      <c r="G20" s="7"/>
      <c r="H20" s="7"/>
      <c r="I20" s="7"/>
      <c r="J20" s="7"/>
      <c r="K20" s="7"/>
      <c r="L20" s="7"/>
    </row>
    <row r="21" spans="1:14" x14ac:dyDescent="0.25">
      <c r="B21" s="7"/>
      <c r="C21" s="7"/>
      <c r="D21" s="7"/>
      <c r="E21" s="7"/>
      <c r="F21" s="7"/>
      <c r="G21" s="7"/>
      <c r="H21" s="7"/>
      <c r="I21" s="7"/>
      <c r="J21" s="7"/>
      <c r="K21" s="7"/>
      <c r="L21" s="7"/>
    </row>
    <row r="22" spans="1:14" s="2" customFormat="1" x14ac:dyDescent="0.25">
      <c r="A22" s="15"/>
      <c r="B22" s="16"/>
      <c r="C22" s="16"/>
      <c r="D22" s="16"/>
      <c r="E22" s="16"/>
      <c r="F22" s="16"/>
      <c r="G22" s="16" t="s">
        <v>19</v>
      </c>
      <c r="H22" s="16" t="s">
        <v>65</v>
      </c>
      <c r="I22" s="16" t="s">
        <v>66</v>
      </c>
      <c r="J22" s="16" t="s">
        <v>67</v>
      </c>
      <c r="K22" s="16" t="s">
        <v>68</v>
      </c>
      <c r="L22" s="17" t="s">
        <v>69</v>
      </c>
      <c r="M22" s="17" t="s">
        <v>20</v>
      </c>
      <c r="N22" s="17" t="s">
        <v>21</v>
      </c>
    </row>
    <row r="23" spans="1:14" s="8" customFormat="1" x14ac:dyDescent="0.25">
      <c r="A23" s="6"/>
      <c r="B23" s="6"/>
      <c r="C23" s="6"/>
      <c r="D23" s="6"/>
      <c r="E23" s="6"/>
      <c r="F23" s="6"/>
      <c r="G23" s="6" t="s">
        <v>22</v>
      </c>
      <c r="H23" s="7">
        <f>IF(B4=0,"",POWER($K4/B4,1/9)-1)</f>
        <v>0.14321979964407872</v>
      </c>
      <c r="I23" s="7">
        <f>IF(D4=0,"",POWER($K4/D4,1/7)-1)</f>
        <v>0.11836982880283453</v>
      </c>
      <c r="J23" s="7">
        <f>IF(F4=0,"",POWER($K4/F4,1/5)-1)</f>
        <v>0.18361842389693006</v>
      </c>
      <c r="K23" s="7">
        <f>IF(H4=0,"",POWER($K4/H4, 1/3)-1)</f>
        <v>3.7743643656640735E-2</v>
      </c>
      <c r="L23" s="7">
        <f>IF(ISERROR(MAX(IF(J4=0,"",(K4-J4)/J4),IF(K4=0,"",(L4-K4)/K4))),"",MAX(IF(J4=0,"",(K4-J4)/J4),IF(K4=0,"",(L4-K4)/K4)))</f>
        <v>9.8599725157560533E-2</v>
      </c>
      <c r="M23" s="22">
        <f>MAX(K23:L23)</f>
        <v>9.8599725157560533E-2</v>
      </c>
      <c r="N23" s="22">
        <f>MIN(H23:L23)</f>
        <v>3.7743643656640735E-2</v>
      </c>
    </row>
    <row r="24" spans="1:14" x14ac:dyDescent="0.25">
      <c r="G24" s="6" t="s">
        <v>18</v>
      </c>
      <c r="H24" s="7">
        <f>IF(SUM(B4:$K$4)=0,"",SUMPRODUCT(B19:$K$19,B4:$K$4)/SUM(B4:$K$4))</f>
        <v>0.1789071237438799</v>
      </c>
      <c r="I24" s="7">
        <f>IF(SUM(E4:$K$4)=0,"",SUMPRODUCT(E19:$K$19,E4:$K$4)/SUM(E4:$K$4))</f>
        <v>0.17069127740762929</v>
      </c>
      <c r="J24" s="7">
        <f>IF(SUM(G4:$K$4)=0,"",SUMPRODUCT(G19:$K$19,G4:$K$4)/SUM(G4:$K$4))</f>
        <v>0.16374396855629131</v>
      </c>
      <c r="K24" s="7">
        <f>IF(SUM(I4:$K$4)=0, "", SUMPRODUCT(I19:$K$19,I4:$K$4)/SUM(I4:$K$4))</f>
        <v>0.15157377668618929</v>
      </c>
      <c r="L24" s="7">
        <f>L19</f>
        <v>0.15822504987329486</v>
      </c>
      <c r="M24" s="22">
        <f>MAX(K24:L24)</f>
        <v>0.15822504987329486</v>
      </c>
      <c r="N24" s="22">
        <f>MIN(H24:L24)</f>
        <v>0.15157377668618929</v>
      </c>
    </row>
    <row r="25" spans="1:14" x14ac:dyDescent="0.25">
      <c r="G25" s="6" t="s">
        <v>23</v>
      </c>
      <c r="H25" s="9">
        <f>IF(ISERROR(AVERAGEIF(B14:$L14,"&gt;0")),"",AVERAGEIF(B14:$L14,"&gt;0"))</f>
        <v>20.794062420948748</v>
      </c>
      <c r="I25" s="9">
        <f>IF(ISERROR(AVERAGEIF(E14:$L14,"&gt;0")),"",AVERAGEIF(E14:$L14,"&gt;0"))</f>
        <v>24.417517886401953</v>
      </c>
      <c r="J25" s="9">
        <f>IF(ISERROR(AVERAGEIF(G14:$L14,"&gt;0")),"",AVERAGEIF(G14:$L14,"&gt;0"))</f>
        <v>28.709098732017896</v>
      </c>
      <c r="K25" s="9">
        <f>IF(ISERROR(AVERAGEIF(I14:$L14,"&gt;0")),"",AVERAGEIF(I14:$L14,"&gt;0"))</f>
        <v>30.886944909043645</v>
      </c>
      <c r="L25" s="9">
        <f>L14</f>
        <v>14.004706040509053</v>
      </c>
      <c r="M25" s="1">
        <f>MAX(K25:L25)</f>
        <v>30.886944909043645</v>
      </c>
      <c r="N25" s="1">
        <f>MIN(H25:L25)</f>
        <v>14.004706040509053</v>
      </c>
    </row>
  </sheetData>
  <hyperlinks>
    <hyperlink ref="M1" r:id="rId1" xr:uid="{00000000-0004-0000-0000-000000000000}"/>
  </hyperlinks>
  <printOptions gridLines="1"/>
  <pageMargins left="0.7" right="0.7" top="0.75" bottom="0.75" header="0.3" footer="0.3"/>
  <pageSetup paperSize="9" orientation="landscape"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85546875" defaultRowHeight="15" x14ac:dyDescent="0.25"/>
  <cols>
    <col min="1" max="1" width="20.7109375" style="6" customWidth="1"/>
    <col min="2" max="11" width="13.42578125" style="6" bestFit="1" customWidth="1"/>
    <col min="12" max="16384" width="8.85546875" style="6"/>
  </cols>
  <sheetData>
    <row r="1" spans="1:11" s="8" customFormat="1" x14ac:dyDescent="0.25">
      <c r="A1" s="8" t="str">
        <f>'Profit &amp; Loss'!A1</f>
        <v>JSW STEEL LTD</v>
      </c>
      <c r="E1" t="str">
        <f>UPDATE</f>
        <v>JSW STEEL LTD</v>
      </c>
      <c r="J1" s="4" t="s">
        <v>1</v>
      </c>
      <c r="K1" s="4"/>
    </row>
    <row r="3" spans="1:11" s="2" customFormat="1" x14ac:dyDescent="0.25">
      <c r="A3" s="15" t="s">
        <v>2</v>
      </c>
      <c r="B3" s="16">
        <f>'Data Sheet'!B41</f>
        <v>45291</v>
      </c>
      <c r="C3" s="16">
        <f>'Data Sheet'!C41</f>
        <v>45382</v>
      </c>
      <c r="D3" s="16">
        <f>'Data Sheet'!D41</f>
        <v>45473</v>
      </c>
      <c r="E3" s="16">
        <f>'Data Sheet'!E41</f>
        <v>45565</v>
      </c>
      <c r="F3" s="16">
        <f>'Data Sheet'!F41</f>
        <v>45657</v>
      </c>
      <c r="G3" s="16">
        <f>'Data Sheet'!G41</f>
        <v>45747</v>
      </c>
      <c r="H3" s="16">
        <f>'Data Sheet'!H41</f>
        <v>45838</v>
      </c>
      <c r="I3" s="16">
        <f>'Data Sheet'!I41</f>
        <v>45930</v>
      </c>
      <c r="J3" s="16">
        <f>'Data Sheet'!J41</f>
        <v>46022</v>
      </c>
      <c r="K3" s="16">
        <f>'Data Sheet'!K41</f>
        <v>46112</v>
      </c>
    </row>
    <row r="4" spans="1:11" s="8" customFormat="1" x14ac:dyDescent="0.25">
      <c r="A4" s="8" t="s">
        <v>6</v>
      </c>
      <c r="B4" s="1">
        <f>'Data Sheet'!B42</f>
        <v>41940</v>
      </c>
      <c r="C4" s="1">
        <f>'Data Sheet'!C42</f>
        <v>46269</v>
      </c>
      <c r="D4" s="1">
        <f>'Data Sheet'!D42</f>
        <v>42943</v>
      </c>
      <c r="E4" s="1">
        <f>'Data Sheet'!E42</f>
        <v>39684</v>
      </c>
      <c r="F4" s="1">
        <f>'Data Sheet'!F42</f>
        <v>41378</v>
      </c>
      <c r="G4" s="1">
        <f>'Data Sheet'!G42</f>
        <v>44819</v>
      </c>
      <c r="H4" s="1">
        <f>'Data Sheet'!H42</f>
        <v>43147</v>
      </c>
      <c r="I4" s="1">
        <f>'Data Sheet'!I42</f>
        <v>45152</v>
      </c>
      <c r="J4" s="1">
        <f>'Data Sheet'!J42</f>
        <v>45991</v>
      </c>
      <c r="K4" s="1">
        <f>'Data Sheet'!K42</f>
        <v>51180</v>
      </c>
    </row>
    <row r="5" spans="1:11" x14ac:dyDescent="0.25">
      <c r="A5" s="6" t="s">
        <v>7</v>
      </c>
      <c r="B5" s="9">
        <f>'Data Sheet'!B43</f>
        <v>34776</v>
      </c>
      <c r="C5" s="9">
        <f>'Data Sheet'!C43</f>
        <v>40243</v>
      </c>
      <c r="D5" s="9">
        <f>'Data Sheet'!D43</f>
        <v>37445</v>
      </c>
      <c r="E5" s="9">
        <f>'Data Sheet'!E43</f>
        <v>34309</v>
      </c>
      <c r="F5" s="9">
        <f>'Data Sheet'!F43</f>
        <v>35799</v>
      </c>
      <c r="G5" s="9">
        <f>'Data Sheet'!G43</f>
        <v>38684</v>
      </c>
      <c r="H5" s="9">
        <f>'Data Sheet'!H43</f>
        <v>35671</v>
      </c>
      <c r="I5" s="9">
        <f>'Data Sheet'!I43</f>
        <v>38125</v>
      </c>
      <c r="J5" s="9">
        <f>'Data Sheet'!J43</f>
        <v>39612</v>
      </c>
      <c r="K5" s="9">
        <f>'Data Sheet'!K43</f>
        <v>42716</v>
      </c>
    </row>
    <row r="6" spans="1:11" s="8" customFormat="1" x14ac:dyDescent="0.25">
      <c r="A6" s="8" t="s">
        <v>8</v>
      </c>
      <c r="B6" s="1">
        <f>'Data Sheet'!B50</f>
        <v>7164</v>
      </c>
      <c r="C6" s="1">
        <f>'Data Sheet'!C50</f>
        <v>6026</v>
      </c>
      <c r="D6" s="1">
        <f>'Data Sheet'!D50</f>
        <v>5498</v>
      </c>
      <c r="E6" s="1">
        <f>'Data Sheet'!E50</f>
        <v>5375</v>
      </c>
      <c r="F6" s="1">
        <f>'Data Sheet'!F50</f>
        <v>5579</v>
      </c>
      <c r="G6" s="1">
        <f>'Data Sheet'!G50</f>
        <v>6135</v>
      </c>
      <c r="H6" s="1">
        <f>'Data Sheet'!H50</f>
        <v>7476</v>
      </c>
      <c r="I6" s="1">
        <f>'Data Sheet'!I50</f>
        <v>7027</v>
      </c>
      <c r="J6" s="1">
        <f>'Data Sheet'!J50</f>
        <v>6379</v>
      </c>
      <c r="K6" s="1">
        <f>'Data Sheet'!K50</f>
        <v>8464</v>
      </c>
    </row>
    <row r="7" spans="1:11" x14ac:dyDescent="0.25">
      <c r="A7" s="6" t="s">
        <v>9</v>
      </c>
      <c r="B7" s="9">
        <f>'Data Sheet'!B44</f>
        <v>194</v>
      </c>
      <c r="C7" s="9">
        <f>'Data Sheet'!C44</f>
        <v>242</v>
      </c>
      <c r="D7" s="9">
        <f>'Data Sheet'!D44</f>
        <v>164</v>
      </c>
      <c r="E7" s="9">
        <f>'Data Sheet'!E44</f>
        <v>-189</v>
      </c>
      <c r="F7" s="9">
        <f>'Data Sheet'!F44</f>
        <v>50</v>
      </c>
      <c r="G7" s="9">
        <f>'Data Sheet'!G44</f>
        <v>186</v>
      </c>
      <c r="H7" s="9">
        <f>'Data Sheet'!H44</f>
        <v>350</v>
      </c>
      <c r="I7" s="9">
        <f>'Data Sheet'!I44</f>
        <v>284</v>
      </c>
      <c r="J7" s="9">
        <f>'Data Sheet'!J44</f>
        <v>-256</v>
      </c>
      <c r="K7" s="9">
        <f>'Data Sheet'!K44</f>
        <v>18229</v>
      </c>
    </row>
    <row r="8" spans="1:11" x14ac:dyDescent="0.25">
      <c r="A8" s="6" t="s">
        <v>10</v>
      </c>
      <c r="B8" s="9">
        <f>'Data Sheet'!B45</f>
        <v>2059</v>
      </c>
      <c r="C8" s="9">
        <f>'Data Sheet'!C45</f>
        <v>2194</v>
      </c>
      <c r="D8" s="9">
        <f>'Data Sheet'!D45</f>
        <v>2209</v>
      </c>
      <c r="E8" s="9">
        <f>'Data Sheet'!E45</f>
        <v>2267</v>
      </c>
      <c r="F8" s="9">
        <f>'Data Sheet'!F45</f>
        <v>2336</v>
      </c>
      <c r="G8" s="9">
        <f>'Data Sheet'!G45</f>
        <v>2497</v>
      </c>
      <c r="H8" s="9">
        <f>'Data Sheet'!H45</f>
        <v>2537</v>
      </c>
      <c r="I8" s="9">
        <f>'Data Sheet'!I45</f>
        <v>2554</v>
      </c>
      <c r="J8" s="9">
        <f>'Data Sheet'!J45</f>
        <v>2362</v>
      </c>
      <c r="K8" s="9">
        <f>'Data Sheet'!K45</f>
        <v>2148</v>
      </c>
    </row>
    <row r="9" spans="1:11" x14ac:dyDescent="0.25">
      <c r="A9" s="6" t="s">
        <v>11</v>
      </c>
      <c r="B9" s="9">
        <f>'Data Sheet'!B46</f>
        <v>1996</v>
      </c>
      <c r="C9" s="9">
        <f>'Data Sheet'!C46</f>
        <v>2062</v>
      </c>
      <c r="D9" s="9">
        <f>'Data Sheet'!D46</f>
        <v>2073</v>
      </c>
      <c r="E9" s="9">
        <f>'Data Sheet'!E46</f>
        <v>2130</v>
      </c>
      <c r="F9" s="9">
        <f>'Data Sheet'!F46</f>
        <v>2115</v>
      </c>
      <c r="G9" s="9">
        <f>'Data Sheet'!G46</f>
        <v>2094</v>
      </c>
      <c r="H9" s="9">
        <f>'Data Sheet'!H46</f>
        <v>2217</v>
      </c>
      <c r="I9" s="9">
        <f>'Data Sheet'!I46</f>
        <v>2413</v>
      </c>
      <c r="J9" s="9">
        <f>'Data Sheet'!J46</f>
        <v>2304</v>
      </c>
      <c r="K9" s="9">
        <f>'Data Sheet'!K46</f>
        <v>2168</v>
      </c>
    </row>
    <row r="10" spans="1:11" x14ac:dyDescent="0.25">
      <c r="A10" s="6" t="s">
        <v>12</v>
      </c>
      <c r="B10" s="9">
        <f>'Data Sheet'!B47</f>
        <v>3303</v>
      </c>
      <c r="C10" s="9">
        <f>'Data Sheet'!C47</f>
        <v>2012</v>
      </c>
      <c r="D10" s="9">
        <f>'Data Sheet'!D47</f>
        <v>1380</v>
      </c>
      <c r="E10" s="9">
        <f>'Data Sheet'!E47</f>
        <v>789</v>
      </c>
      <c r="F10" s="9">
        <f>'Data Sheet'!F47</f>
        <v>1178</v>
      </c>
      <c r="G10" s="9">
        <f>'Data Sheet'!G47</f>
        <v>1730</v>
      </c>
      <c r="H10" s="9">
        <f>'Data Sheet'!H47</f>
        <v>3072</v>
      </c>
      <c r="I10" s="9">
        <f>'Data Sheet'!I47</f>
        <v>2344</v>
      </c>
      <c r="J10" s="9">
        <f>'Data Sheet'!J47</f>
        <v>1457</v>
      </c>
      <c r="K10" s="9">
        <f>'Data Sheet'!K47</f>
        <v>22377</v>
      </c>
    </row>
    <row r="11" spans="1:11" x14ac:dyDescent="0.25">
      <c r="A11" s="6" t="s">
        <v>13</v>
      </c>
      <c r="B11" s="9">
        <f>'Data Sheet'!B48</f>
        <v>853</v>
      </c>
      <c r="C11" s="9">
        <f>'Data Sheet'!C48</f>
        <v>690</v>
      </c>
      <c r="D11" s="9">
        <f>'Data Sheet'!D48</f>
        <v>513</v>
      </c>
      <c r="E11" s="9">
        <f>'Data Sheet'!E48</f>
        <v>385</v>
      </c>
      <c r="F11" s="9">
        <f>'Data Sheet'!F48</f>
        <v>459</v>
      </c>
      <c r="G11" s="9">
        <f>'Data Sheet'!G48</f>
        <v>229</v>
      </c>
      <c r="H11" s="9">
        <f>'Data Sheet'!H48</f>
        <v>863</v>
      </c>
      <c r="I11" s="9">
        <f>'Data Sheet'!I48</f>
        <v>698</v>
      </c>
      <c r="J11" s="9">
        <f>'Data Sheet'!J48</f>
        <v>-953</v>
      </c>
      <c r="K11" s="9">
        <f>'Data Sheet'!K48</f>
        <v>3134</v>
      </c>
    </row>
    <row r="12" spans="1:11" s="8" customFormat="1" x14ac:dyDescent="0.25">
      <c r="A12" s="8" t="s">
        <v>14</v>
      </c>
      <c r="B12" s="1">
        <f>'Data Sheet'!B49</f>
        <v>2415</v>
      </c>
      <c r="C12" s="1">
        <f>'Data Sheet'!C49</f>
        <v>1299</v>
      </c>
      <c r="D12" s="1">
        <f>'Data Sheet'!D49</f>
        <v>845</v>
      </c>
      <c r="E12" s="1">
        <f>'Data Sheet'!E49</f>
        <v>439</v>
      </c>
      <c r="F12" s="1">
        <f>'Data Sheet'!F49</f>
        <v>717</v>
      </c>
      <c r="G12" s="1">
        <f>'Data Sheet'!G49</f>
        <v>1503</v>
      </c>
      <c r="H12" s="1">
        <f>'Data Sheet'!H49</f>
        <v>2184</v>
      </c>
      <c r="I12" s="1">
        <f>'Data Sheet'!I49</f>
        <v>1623</v>
      </c>
      <c r="J12" s="1">
        <f>'Data Sheet'!J49</f>
        <v>2139</v>
      </c>
      <c r="K12" s="1">
        <f>'Data Sheet'!K49</f>
        <v>16370</v>
      </c>
    </row>
    <row r="14" spans="1:11" s="8" customFormat="1" x14ac:dyDescent="0.25">
      <c r="A14" s="2" t="s">
        <v>18</v>
      </c>
      <c r="B14" s="14">
        <f>IF(B4&gt;0,B6/B4,"")</f>
        <v>0.17081545064377682</v>
      </c>
      <c r="C14" s="14">
        <f t="shared" ref="C14:K14" si="0">IF(C4&gt;0,C6/C4,"")</f>
        <v>0.13023838855389139</v>
      </c>
      <c r="D14" s="14">
        <f t="shared" si="0"/>
        <v>0.12803017954032089</v>
      </c>
      <c r="E14" s="14">
        <f t="shared" si="0"/>
        <v>0.13544501562342506</v>
      </c>
      <c r="F14" s="14">
        <f t="shared" si="0"/>
        <v>0.1348301029532602</v>
      </c>
      <c r="G14" s="14">
        <f t="shared" si="0"/>
        <v>0.13688391084138424</v>
      </c>
      <c r="H14" s="14">
        <f t="shared" si="0"/>
        <v>0.17326812988156767</v>
      </c>
      <c r="I14" s="14">
        <f t="shared" si="0"/>
        <v>0.15562987243090007</v>
      </c>
      <c r="J14" s="14">
        <f t="shared" si="0"/>
        <v>0.13870105020547499</v>
      </c>
      <c r="K14" s="14">
        <f t="shared" si="0"/>
        <v>0.1653771004298554</v>
      </c>
    </row>
    <row r="22" s="30" customFormat="1" x14ac:dyDescent="0.25"/>
  </sheetData>
  <hyperlinks>
    <hyperlink ref="J1" r:id="rId1" xr:uid="{00000000-0004-0000-0100-000000000000}"/>
  </hyperlinks>
  <printOptions gridLines="1"/>
  <pageMargins left="0.7" right="0.7" top="0.75" bottom="0.75" header="0.3" footer="0.3"/>
  <pageSetup paperSize="9" scale="83"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5"/>
  <sheetViews>
    <sheetView zoomScale="125" workbookViewId="0">
      <pane xSplit="1" ySplit="3" topLeftCell="E22" activePane="bottomRight" state="frozen"/>
      <selection activeCell="C4" sqref="C4"/>
      <selection pane="topRight" activeCell="C4" sqref="C4"/>
      <selection pane="bottomLeft" activeCell="C4" sqref="C4"/>
      <selection pane="bottomRight" activeCell="K24" sqref="K24"/>
    </sheetView>
  </sheetViews>
  <sheetFormatPr defaultColWidth="8.85546875" defaultRowHeight="15" x14ac:dyDescent="0.25"/>
  <cols>
    <col min="1" max="1" width="22.85546875" style="11" bestFit="1" customWidth="1"/>
    <col min="2" max="2" width="13.42578125" style="11" customWidth="1"/>
    <col min="3" max="11" width="15.42578125" style="11" customWidth="1"/>
    <col min="12" max="16384" width="8.85546875" style="11"/>
  </cols>
  <sheetData>
    <row r="1" spans="1:11" s="8" customFormat="1" x14ac:dyDescent="0.25">
      <c r="A1" s="8" t="str">
        <f>'Profit &amp; Loss'!A1</f>
        <v>JSW STEEL LTD</v>
      </c>
      <c r="E1" t="str">
        <f>UPDATE</f>
        <v>JSW STEEL LTD</v>
      </c>
      <c r="G1"/>
      <c r="J1" s="4" t="s">
        <v>1</v>
      </c>
      <c r="K1" s="4"/>
    </row>
    <row r="2" spans="1:11" x14ac:dyDescent="0.25">
      <c r="G2" s="8"/>
      <c r="H2" s="8"/>
    </row>
    <row r="3" spans="1:11" s="18" customFormat="1" x14ac:dyDescent="0.25">
      <c r="A3" s="15" t="s">
        <v>2</v>
      </c>
      <c r="B3" s="16">
        <f>'Data Sheet'!B56</f>
        <v>42825</v>
      </c>
      <c r="C3" s="16">
        <f>'Data Sheet'!C56</f>
        <v>43190</v>
      </c>
      <c r="D3" s="16">
        <f>'Data Sheet'!D56</f>
        <v>43555</v>
      </c>
      <c r="E3" s="16">
        <f>'Data Sheet'!E56</f>
        <v>43921</v>
      </c>
      <c r="F3" s="16">
        <f>'Data Sheet'!F56</f>
        <v>44286</v>
      </c>
      <c r="G3" s="16">
        <f>'Data Sheet'!G56</f>
        <v>44651</v>
      </c>
      <c r="H3" s="16">
        <f>'Data Sheet'!H56</f>
        <v>45016</v>
      </c>
      <c r="I3" s="16">
        <f>'Data Sheet'!I56</f>
        <v>45382</v>
      </c>
      <c r="J3" s="16">
        <f>'Data Sheet'!J56</f>
        <v>45747</v>
      </c>
      <c r="K3" s="16">
        <f>'Data Sheet'!K56</f>
        <v>46112</v>
      </c>
    </row>
    <row r="4" spans="1:11" x14ac:dyDescent="0.25">
      <c r="A4" s="6" t="s">
        <v>24</v>
      </c>
      <c r="B4" s="19">
        <f>'Data Sheet'!B57</f>
        <v>301</v>
      </c>
      <c r="C4" s="19">
        <f>'Data Sheet'!C57</f>
        <v>302</v>
      </c>
      <c r="D4" s="19">
        <f>'Data Sheet'!D57</f>
        <v>301</v>
      </c>
      <c r="E4" s="19">
        <f>'Data Sheet'!E57</f>
        <v>301</v>
      </c>
      <c r="F4" s="19">
        <f>'Data Sheet'!F57</f>
        <v>302</v>
      </c>
      <c r="G4" s="19">
        <f>'Data Sheet'!G57</f>
        <v>301</v>
      </c>
      <c r="H4" s="19">
        <f>'Data Sheet'!H57</f>
        <v>301</v>
      </c>
      <c r="I4" s="19">
        <f>'Data Sheet'!I57</f>
        <v>305</v>
      </c>
      <c r="J4" s="19">
        <f>'Data Sheet'!J57</f>
        <v>305</v>
      </c>
      <c r="K4" s="19">
        <f>'Data Sheet'!K57</f>
        <v>305</v>
      </c>
    </row>
    <row r="5" spans="1:11" s="6" customFormat="1" x14ac:dyDescent="0.25">
      <c r="A5" s="6" t="s">
        <v>25</v>
      </c>
      <c r="B5" s="19">
        <f>'Data Sheet'!B58</f>
        <v>22346</v>
      </c>
      <c r="C5" s="19">
        <f>'Data Sheet'!C58</f>
        <v>27696</v>
      </c>
      <c r="D5" s="19">
        <f>'Data Sheet'!D58</f>
        <v>34494</v>
      </c>
      <c r="E5" s="19">
        <f>'Data Sheet'!E58</f>
        <v>36298</v>
      </c>
      <c r="F5" s="19">
        <f>'Data Sheet'!F58</f>
        <v>45308</v>
      </c>
      <c r="G5" s="19">
        <f>'Data Sheet'!G58</f>
        <v>66996</v>
      </c>
      <c r="H5" s="19">
        <f>'Data Sheet'!H58</f>
        <v>65394</v>
      </c>
      <c r="I5" s="19">
        <f>'Data Sheet'!I58</f>
        <v>77364</v>
      </c>
      <c r="J5" s="19">
        <f>'Data Sheet'!J58</f>
        <v>79191</v>
      </c>
      <c r="K5" s="19">
        <f>'Data Sheet'!K58</f>
        <v>99748</v>
      </c>
    </row>
    <row r="6" spans="1:11" x14ac:dyDescent="0.25">
      <c r="A6" s="11" t="s">
        <v>71</v>
      </c>
      <c r="B6" s="19">
        <f>'Data Sheet'!B59</f>
        <v>43334</v>
      </c>
      <c r="C6" s="19">
        <f>'Data Sheet'!C59</f>
        <v>39393</v>
      </c>
      <c r="D6" s="19">
        <f>'Data Sheet'!D59</f>
        <v>47396</v>
      </c>
      <c r="E6" s="19">
        <f>'Data Sheet'!E59</f>
        <v>61423</v>
      </c>
      <c r="F6" s="19">
        <f>'Data Sheet'!F59</f>
        <v>66727</v>
      </c>
      <c r="G6" s="19">
        <f>'Data Sheet'!G59</f>
        <v>72237</v>
      </c>
      <c r="H6" s="19">
        <f>'Data Sheet'!H59</f>
        <v>80853</v>
      </c>
      <c r="I6" s="19">
        <f>'Data Sheet'!I59</f>
        <v>87984</v>
      </c>
      <c r="J6" s="19">
        <f>'Data Sheet'!J59</f>
        <v>98752</v>
      </c>
      <c r="K6" s="19">
        <f>'Data Sheet'!K59</f>
        <v>99310</v>
      </c>
    </row>
    <row r="7" spans="1:11" s="6" customFormat="1" x14ac:dyDescent="0.25">
      <c r="A7" s="11" t="s">
        <v>72</v>
      </c>
      <c r="B7" s="19">
        <f>'Data Sheet'!B60</f>
        <v>22024</v>
      </c>
      <c r="C7" s="19">
        <f>'Data Sheet'!C60</f>
        <v>24579</v>
      </c>
      <c r="D7" s="19">
        <f>'Data Sheet'!D60</f>
        <v>32606</v>
      </c>
      <c r="E7" s="19">
        <f>'Data Sheet'!E60</f>
        <v>33798</v>
      </c>
      <c r="F7" s="19">
        <f>'Data Sheet'!F60</f>
        <v>34826</v>
      </c>
      <c r="G7" s="19">
        <f>'Data Sheet'!G60</f>
        <v>56951</v>
      </c>
      <c r="H7" s="19">
        <f>'Data Sheet'!H60</f>
        <v>63991</v>
      </c>
      <c r="I7" s="19">
        <f>'Data Sheet'!I60</f>
        <v>62245</v>
      </c>
      <c r="J7" s="19">
        <f>'Data Sheet'!J60</f>
        <v>62197</v>
      </c>
      <c r="K7" s="19">
        <f>'Data Sheet'!K60</f>
        <v>70313</v>
      </c>
    </row>
    <row r="8" spans="1:11" s="8" customFormat="1" x14ac:dyDescent="0.25">
      <c r="A8" s="8" t="s">
        <v>26</v>
      </c>
      <c r="B8" s="20">
        <f>'Data Sheet'!B61</f>
        <v>88005</v>
      </c>
      <c r="C8" s="20">
        <f>'Data Sheet'!C61</f>
        <v>91970</v>
      </c>
      <c r="D8" s="20">
        <f>'Data Sheet'!D61</f>
        <v>114797</v>
      </c>
      <c r="E8" s="20">
        <f>'Data Sheet'!E61</f>
        <v>131820</v>
      </c>
      <c r="F8" s="20">
        <f>'Data Sheet'!F61</f>
        <v>147163</v>
      </c>
      <c r="G8" s="20">
        <f>'Data Sheet'!G61</f>
        <v>196485</v>
      </c>
      <c r="H8" s="20">
        <f>'Data Sheet'!H61</f>
        <v>210539</v>
      </c>
      <c r="I8" s="20">
        <f>'Data Sheet'!I61</f>
        <v>227898</v>
      </c>
      <c r="J8" s="20">
        <f>'Data Sheet'!J61</f>
        <v>240445</v>
      </c>
      <c r="K8" s="20">
        <f>'Data Sheet'!K61</f>
        <v>269676</v>
      </c>
    </row>
    <row r="9" spans="1:11" s="8" customFormat="1" x14ac:dyDescent="0.25">
      <c r="B9" s="20"/>
      <c r="C9" s="20"/>
      <c r="D9" s="20"/>
      <c r="E9" s="20"/>
      <c r="F9" s="20"/>
      <c r="G9" s="20"/>
      <c r="H9" s="20"/>
      <c r="I9" s="20"/>
      <c r="J9" s="20"/>
      <c r="K9" s="20"/>
    </row>
    <row r="10" spans="1:11" x14ac:dyDescent="0.25">
      <c r="A10" s="6" t="s">
        <v>27</v>
      </c>
      <c r="B10" s="19">
        <f>'Data Sheet'!B62</f>
        <v>58730</v>
      </c>
      <c r="C10" s="19">
        <f>'Data Sheet'!C62</f>
        <v>57848</v>
      </c>
      <c r="D10" s="19">
        <f>'Data Sheet'!D62</f>
        <v>62644</v>
      </c>
      <c r="E10" s="19">
        <f>'Data Sheet'!E62</f>
        <v>62085</v>
      </c>
      <c r="F10" s="19">
        <f>'Data Sheet'!F62</f>
        <v>64917</v>
      </c>
      <c r="G10" s="19">
        <f>'Data Sheet'!G62</f>
        <v>99880</v>
      </c>
      <c r="H10" s="19">
        <f>'Data Sheet'!H62</f>
        <v>104452</v>
      </c>
      <c r="I10" s="19">
        <f>'Data Sheet'!I62</f>
        <v>112461</v>
      </c>
      <c r="J10" s="19">
        <f>'Data Sheet'!J62</f>
        <v>124466</v>
      </c>
      <c r="K10" s="19">
        <f>'Data Sheet'!K62</f>
        <v>117552</v>
      </c>
    </row>
    <row r="11" spans="1:11" x14ac:dyDescent="0.25">
      <c r="A11" s="6" t="s">
        <v>28</v>
      </c>
      <c r="B11" s="19">
        <f>'Data Sheet'!B63</f>
        <v>4363</v>
      </c>
      <c r="C11" s="19">
        <f>'Data Sheet'!C63</f>
        <v>5950</v>
      </c>
      <c r="D11" s="19">
        <f>'Data Sheet'!D63</f>
        <v>11889</v>
      </c>
      <c r="E11" s="19">
        <f>'Data Sheet'!E63</f>
        <v>27191</v>
      </c>
      <c r="F11" s="19">
        <f>'Data Sheet'!F63</f>
        <v>32566</v>
      </c>
      <c r="G11" s="19">
        <f>'Data Sheet'!G63</f>
        <v>16905</v>
      </c>
      <c r="H11" s="19">
        <f>'Data Sheet'!H63</f>
        <v>22166</v>
      </c>
      <c r="I11" s="19">
        <f>'Data Sheet'!I63</f>
        <v>29676</v>
      </c>
      <c r="J11" s="19">
        <f>'Data Sheet'!J63</f>
        <v>21007</v>
      </c>
      <c r="K11" s="19">
        <f>'Data Sheet'!K63</f>
        <v>21892</v>
      </c>
    </row>
    <row r="12" spans="1:11" x14ac:dyDescent="0.25">
      <c r="A12" s="6" t="s">
        <v>29</v>
      </c>
      <c r="B12" s="19">
        <f>'Data Sheet'!B64</f>
        <v>1366</v>
      </c>
      <c r="C12" s="19">
        <f>'Data Sheet'!C64</f>
        <v>1469</v>
      </c>
      <c r="D12" s="19">
        <f>'Data Sheet'!D64</f>
        <v>1894</v>
      </c>
      <c r="E12" s="19">
        <f>'Data Sheet'!E64</f>
        <v>1259</v>
      </c>
      <c r="F12" s="19">
        <f>'Data Sheet'!F64</f>
        <v>7427</v>
      </c>
      <c r="G12" s="19">
        <f>'Data Sheet'!G64</f>
        <v>4940</v>
      </c>
      <c r="H12" s="19">
        <f>'Data Sheet'!H64</f>
        <v>4806</v>
      </c>
      <c r="I12" s="19">
        <f>'Data Sheet'!I64</f>
        <v>7246</v>
      </c>
      <c r="J12" s="19">
        <f>'Data Sheet'!J64</f>
        <v>15217</v>
      </c>
      <c r="K12" s="19">
        <f>'Data Sheet'!K64</f>
        <v>10218</v>
      </c>
    </row>
    <row r="13" spans="1:11" x14ac:dyDescent="0.25">
      <c r="A13" s="11" t="s">
        <v>73</v>
      </c>
      <c r="B13" s="19">
        <f>'Data Sheet'!B65</f>
        <v>23546</v>
      </c>
      <c r="C13" s="19">
        <f>'Data Sheet'!C65</f>
        <v>26703</v>
      </c>
      <c r="D13" s="19">
        <f>'Data Sheet'!D65</f>
        <v>38370</v>
      </c>
      <c r="E13" s="19">
        <f>'Data Sheet'!E65</f>
        <v>41285</v>
      </c>
      <c r="F13" s="19">
        <f>'Data Sheet'!F65</f>
        <v>42253</v>
      </c>
      <c r="G13" s="19">
        <f>'Data Sheet'!G65</f>
        <v>74760</v>
      </c>
      <c r="H13" s="19">
        <f>'Data Sheet'!H65</f>
        <v>79115</v>
      </c>
      <c r="I13" s="19">
        <f>'Data Sheet'!I65</f>
        <v>78515</v>
      </c>
      <c r="J13" s="19">
        <f>'Data Sheet'!J65</f>
        <v>79755</v>
      </c>
      <c r="K13" s="19">
        <f>'Data Sheet'!K65</f>
        <v>120014</v>
      </c>
    </row>
    <row r="14" spans="1:11" s="8" customFormat="1" x14ac:dyDescent="0.25">
      <c r="A14" s="8" t="s">
        <v>26</v>
      </c>
      <c r="B14" s="19">
        <f>'Data Sheet'!B66</f>
        <v>88005</v>
      </c>
      <c r="C14" s="19">
        <f>'Data Sheet'!C66</f>
        <v>91970</v>
      </c>
      <c r="D14" s="19">
        <f>'Data Sheet'!D66</f>
        <v>114797</v>
      </c>
      <c r="E14" s="19">
        <f>'Data Sheet'!E66</f>
        <v>131820</v>
      </c>
      <c r="F14" s="19">
        <f>'Data Sheet'!F66</f>
        <v>147163</v>
      </c>
      <c r="G14" s="19">
        <f>'Data Sheet'!G66</f>
        <v>196485</v>
      </c>
      <c r="H14" s="19">
        <f>'Data Sheet'!H66</f>
        <v>210539</v>
      </c>
      <c r="I14" s="19">
        <f>'Data Sheet'!I66</f>
        <v>227898</v>
      </c>
      <c r="J14" s="19">
        <f>'Data Sheet'!J66</f>
        <v>240445</v>
      </c>
      <c r="K14" s="19">
        <f>'Data Sheet'!K66</f>
        <v>269676</v>
      </c>
    </row>
    <row r="15" spans="1:11" x14ac:dyDescent="0.25">
      <c r="A15" s="6"/>
      <c r="B15" s="21"/>
      <c r="C15" s="21"/>
      <c r="D15" s="21"/>
      <c r="E15" s="21"/>
      <c r="F15" s="21"/>
      <c r="G15" s="21"/>
      <c r="H15" s="21"/>
      <c r="I15" s="21"/>
      <c r="J15" s="21"/>
      <c r="K15" s="21"/>
    </row>
    <row r="16" spans="1:11" x14ac:dyDescent="0.25">
      <c r="A16" s="29" t="s">
        <v>30</v>
      </c>
      <c r="B16" s="21">
        <f>B13-B7</f>
        <v>1522</v>
      </c>
      <c r="C16" s="21">
        <f t="shared" ref="C16:K16" si="0">C13-C7</f>
        <v>2124</v>
      </c>
      <c r="D16" s="21">
        <f t="shared" si="0"/>
        <v>5764</v>
      </c>
      <c r="E16" s="21">
        <f t="shared" si="0"/>
        <v>7487</v>
      </c>
      <c r="F16" s="21">
        <f t="shared" si="0"/>
        <v>7427</v>
      </c>
      <c r="G16" s="21">
        <f t="shared" si="0"/>
        <v>17809</v>
      </c>
      <c r="H16" s="21">
        <f t="shared" si="0"/>
        <v>15124</v>
      </c>
      <c r="I16" s="21">
        <f t="shared" si="0"/>
        <v>16270</v>
      </c>
      <c r="J16" s="21">
        <f t="shared" si="0"/>
        <v>17558</v>
      </c>
      <c r="K16" s="21">
        <f t="shared" si="0"/>
        <v>49701</v>
      </c>
    </row>
    <row r="17" spans="1:11" x14ac:dyDescent="0.25">
      <c r="A17" s="11" t="s">
        <v>44</v>
      </c>
      <c r="B17" s="21">
        <f>'Data Sheet'!B67</f>
        <v>4149</v>
      </c>
      <c r="C17" s="21">
        <f>'Data Sheet'!C67</f>
        <v>4704</v>
      </c>
      <c r="D17" s="21">
        <f>'Data Sheet'!D67</f>
        <v>7160</v>
      </c>
      <c r="E17" s="21">
        <f>'Data Sheet'!E67</f>
        <v>4505</v>
      </c>
      <c r="F17" s="21">
        <f>'Data Sheet'!F67</f>
        <v>4486</v>
      </c>
      <c r="G17" s="21">
        <f>'Data Sheet'!G67</f>
        <v>7457</v>
      </c>
      <c r="H17" s="21">
        <f>'Data Sheet'!H67</f>
        <v>7134</v>
      </c>
      <c r="I17" s="21">
        <f>'Data Sheet'!I67</f>
        <v>7548</v>
      </c>
      <c r="J17" s="21">
        <f>'Data Sheet'!J67</f>
        <v>8415</v>
      </c>
      <c r="K17" s="21">
        <f>'Data Sheet'!K67</f>
        <v>11260</v>
      </c>
    </row>
    <row r="18" spans="1:11" x14ac:dyDescent="0.25">
      <c r="A18" s="11" t="s">
        <v>45</v>
      </c>
      <c r="B18" s="21">
        <f>'Data Sheet'!B68</f>
        <v>11395</v>
      </c>
      <c r="C18" s="21">
        <f>'Data Sheet'!C68</f>
        <v>12594</v>
      </c>
      <c r="D18" s="21">
        <f>'Data Sheet'!D68</f>
        <v>14548</v>
      </c>
      <c r="E18" s="21">
        <f>'Data Sheet'!E68</f>
        <v>13773</v>
      </c>
      <c r="F18" s="21">
        <f>'Data Sheet'!F68</f>
        <v>14249</v>
      </c>
      <c r="G18" s="21">
        <f>'Data Sheet'!G68</f>
        <v>33787</v>
      </c>
      <c r="H18" s="21">
        <f>'Data Sheet'!H68</f>
        <v>33135</v>
      </c>
      <c r="I18" s="21">
        <f>'Data Sheet'!I68</f>
        <v>37815</v>
      </c>
      <c r="J18" s="21">
        <f>'Data Sheet'!J68</f>
        <v>34956</v>
      </c>
      <c r="K18" s="21">
        <f>'Data Sheet'!K68</f>
        <v>32765</v>
      </c>
    </row>
    <row r="20" spans="1:11" x14ac:dyDescent="0.25">
      <c r="A20" s="11" t="s">
        <v>46</v>
      </c>
      <c r="B20" s="5">
        <f>IF('Profit &amp; Loss'!B4&gt;0,'Balance Sheet'!B17/('Profit &amp; Loss'!B4/365),0)</f>
        <v>27.235180922235809</v>
      </c>
      <c r="C20" s="5">
        <f>IF('Profit &amp; Loss'!C4&gt;0,'Balance Sheet'!C17/('Profit &amp; Loss'!C4/365),0)</f>
        <v>23.868877983679258</v>
      </c>
      <c r="D20" s="5">
        <f>IF('Profit &amp; Loss'!D4&gt;0,'Balance Sheet'!D17/('Profit &amp; Loss'!D4/365),0)</f>
        <v>30.834031407435376</v>
      </c>
      <c r="E20" s="5">
        <f>IF('Profit &amp; Loss'!E4&gt;0,'Balance Sheet'!E17/('Profit &amp; Loss'!E4/365),0)</f>
        <v>22.424856121975836</v>
      </c>
      <c r="F20" s="5">
        <f>IF('Profit &amp; Loss'!F4&gt;0,'Balance Sheet'!F17/('Profit &amp; Loss'!F4/365),0)</f>
        <v>20.50864865541903</v>
      </c>
      <c r="G20" s="5">
        <f>IF('Profit &amp; Loss'!G4&gt;0,'Balance Sheet'!G17/('Profit &amp; Loss'!G4/365),0)</f>
        <v>18.595247692507396</v>
      </c>
      <c r="H20" s="5">
        <f>IF('Profit &amp; Loss'!H4&gt;0,'Balance Sheet'!H17/('Profit &amp; Loss'!H4/365),0)</f>
        <v>15.68998553868402</v>
      </c>
      <c r="I20" s="5">
        <f>IF('Profit &amp; Loss'!I4&gt;0,'Balance Sheet'!I17/('Profit &amp; Loss'!I4/365),0)</f>
        <v>15.74243168805641</v>
      </c>
      <c r="J20" s="5">
        <f>IF('Profit &amp; Loss'!J4&gt;0,'Balance Sheet'!J17/('Profit &amp; Loss'!J4/365),0)</f>
        <v>18.193355210159694</v>
      </c>
      <c r="K20" s="5">
        <f>IF('Profit &amp; Loss'!K4&gt;0,'Balance Sheet'!K17/('Profit &amp; Loss'!K4/365),0)</f>
        <v>22.159378875289804</v>
      </c>
    </row>
    <row r="21" spans="1:11" x14ac:dyDescent="0.25">
      <c r="A21" s="11" t="s">
        <v>47</v>
      </c>
      <c r="B21" s="5">
        <f>IF('Balance Sheet'!B18&gt;0,'Profit &amp; Loss'!B4/'Balance Sheet'!B18,0)</f>
        <v>4.8796840719613863</v>
      </c>
      <c r="C21" s="5">
        <f>IF('Balance Sheet'!C18&gt;0,'Profit &amp; Loss'!C4/'Balance Sheet'!C18,0)</f>
        <v>5.7116881054470383</v>
      </c>
      <c r="D21" s="5">
        <f>IF('Balance Sheet'!D18&gt;0,'Profit &amp; Loss'!D4/'Balance Sheet'!D18,0)</f>
        <v>5.8260241957657408</v>
      </c>
      <c r="E21" s="5">
        <f>IF('Balance Sheet'!E18&gt;0,'Profit &amp; Loss'!E4/'Balance Sheet'!E18,0)</f>
        <v>5.3238945763450225</v>
      </c>
      <c r="F21" s="5">
        <f>IF('Balance Sheet'!F18&gt;0,'Profit &amp; Loss'!F4/'Balance Sheet'!F18,0)</f>
        <v>5.6031300442136294</v>
      </c>
      <c r="G21" s="5">
        <f>IF('Balance Sheet'!G18&gt;0,'Profit &amp; Loss'!G4/'Balance Sheet'!G18,0)</f>
        <v>4.3321691774943023</v>
      </c>
      <c r="H21" s="5">
        <f>IF('Balance Sheet'!H18&gt;0,'Profit &amp; Loss'!H4/'Balance Sheet'!H18,0)</f>
        <v>5.0086011770031691</v>
      </c>
      <c r="I21" s="5">
        <f>IF('Balance Sheet'!I18&gt;0,'Profit &amp; Loss'!I4/'Balance Sheet'!I18,0)</f>
        <v>4.6279518709506808</v>
      </c>
      <c r="J21" s="5">
        <f>IF('Balance Sheet'!J18&gt;0,'Profit &amp; Loss'!J4/'Balance Sheet'!J18,0)</f>
        <v>4.8296143723538165</v>
      </c>
      <c r="K21" s="5">
        <f>IF('Balance Sheet'!K18&gt;0,'Profit &amp; Loss'!K4/'Balance Sheet'!K18,0)</f>
        <v>5.6606134594842059</v>
      </c>
    </row>
    <row r="23" spans="1:11" s="8" customFormat="1" x14ac:dyDescent="0.25">
      <c r="A23" s="8" t="s">
        <v>59</v>
      </c>
      <c r="B23" s="14">
        <f>IF(SUM('Balance Sheet'!B4:B5)&gt;0,'Profit &amp; Loss'!B12/SUM('Balance Sheet'!B4:B5),"")</f>
        <v>0.15556144301673511</v>
      </c>
      <c r="C23" s="14">
        <f>IF(SUM('Balance Sheet'!C4:C5)&gt;0,'Profit &amp; Loss'!C12/SUM('Balance Sheet'!C4:C5),"")</f>
        <v>0.22194442460175726</v>
      </c>
      <c r="D23" s="14">
        <f>IF(SUM('Balance Sheet'!D4:D5)&gt;0,'Profit &amp; Loss'!D12/SUM('Balance Sheet'!D4:D5),"")</f>
        <v>0.21954303779278633</v>
      </c>
      <c r="E23" s="14">
        <f>IF(SUM('Balance Sheet'!E4:E5)&gt;0,'Profit &amp; Loss'!E12/SUM('Balance Sheet'!E4:E5),"")</f>
        <v>0.11011229815022268</v>
      </c>
      <c r="F23" s="14">
        <f>IF(SUM('Balance Sheet'!F4:F5)&gt;0,'Profit &amp; Loss'!F12/SUM('Balance Sheet'!F4:F5),"")</f>
        <v>0.17344880508660382</v>
      </c>
      <c r="G23" s="14">
        <f>IF(SUM('Balance Sheet'!G4:G5)&gt;0,'Profit &amp; Loss'!G12/SUM('Balance Sheet'!G4:G5),"")</f>
        <v>0.3070716376658692</v>
      </c>
      <c r="H23" s="14">
        <f>IF(SUM('Balance Sheet'!H4:H5)&gt;0,'Profit &amp; Loss'!H12/SUM('Balance Sheet'!H4:H5),"")</f>
        <v>6.3079381992541289E-2</v>
      </c>
      <c r="I23" s="14">
        <f>IF(SUM('Balance Sheet'!I4:I5)&gt;0,'Profit &amp; Loss'!I12/SUM('Balance Sheet'!I4:I5),"")</f>
        <v>0.11345581892389499</v>
      </c>
      <c r="J23" s="14">
        <f>IF(SUM('Balance Sheet'!J4:J5)&gt;0,'Profit &amp; Loss'!J12/SUM('Balance Sheet'!J4:J5),"")</f>
        <v>4.4077689443494016E-2</v>
      </c>
      <c r="K23" s="14">
        <f>IF(SUM('Balance Sheet'!K4:K5)&gt;0,'Profit &amp; Loss'!K12/SUM('Balance Sheet'!K4:K5),"")</f>
        <v>0.22304178785243819</v>
      </c>
    </row>
    <row r="24" spans="1:11" s="8" customFormat="1" x14ac:dyDescent="0.25">
      <c r="A24" s="8" t="s">
        <v>60</v>
      </c>
      <c r="B24" s="14"/>
      <c r="C24" s="14">
        <f>IF((B4+B5+B6+C4+C5+C6)&gt;0,('Profit &amp; Loss'!C10+'Profit &amp; Loss'!C9)*2/(B4+B5+B6+C4+C5+C6),"")</f>
        <v>0.17023063311639625</v>
      </c>
      <c r="D24" s="14">
        <f>IF((C4+C5+C6+D4+D5+D6)&gt;0,('Profit &amp; Loss'!D10+'Profit &amp; Loss'!D9)*2/(C4+C5+C6+D4+D5+D6),"")</f>
        <v>0.20169539115668997</v>
      </c>
      <c r="E24" s="14">
        <f>IF((D4+D5+D6+E4+E5+E6)&gt;0,('Profit &amp; Loss'!E10+'Profit &amp; Loss'!E9)*2/(D4+D5+D6+E4+E5+E6),"")</f>
        <v>8.0771087546403428E-2</v>
      </c>
      <c r="F24" s="14">
        <f>IF((E4+E5+E6+F4+F5+F6)&gt;0,('Profit &amp; Loss'!F10+'Profit &amp; Loss'!F9)*2/(E4+E5+E6+F4+F5+F6),"")</f>
        <v>0.15185468651210549</v>
      </c>
      <c r="G24" s="14">
        <f>IF((F4+F5+F6+G4+G5+G6)&gt;0,('Profit &amp; Loss'!G10+'Profit &amp; Loss'!G9)*2/(F4+F5+F6+G4+G5+G6),"")</f>
        <v>0.27564110199268671</v>
      </c>
      <c r="H24" s="14">
        <f>IF((G4+G5+G6+H4+H5+H6)&gt;0,('Profit &amp; Loss'!H10+'Profit &amp; Loss'!H9)*2/(G4+G5+G6+H4+H5+H6),"")</f>
        <v>8.7786019393041162E-2</v>
      </c>
      <c r="I24" s="14">
        <f>IF((H4+H5+H6+I4+I5+I6)&gt;0,('Profit &amp; Loss'!I10+'Profit &amp; Loss'!I9)*2/(H4+H5+H6+I4+I5+I6),"")</f>
        <v>0.13763568982802746</v>
      </c>
      <c r="J24" s="14">
        <f>IF((I4+I5+I6+J4+J5+J6)&gt;0,('Profit &amp; Loss'!J10+'Profit &amp; Loss'!J9)*2/(I4+I5+I6+J4+J5+J6),"")</f>
        <v>7.8446994920049667E-2</v>
      </c>
      <c r="K24" s="14">
        <f>IF((J4+J5+J6+K4+K5+K6)&gt;0,('Profit &amp; Loss'!K10+'Profit &amp; Loss'!K9)*2/(J4+J5+J6+K4+K5+K6),"")</f>
        <v>0.20312967577745353</v>
      </c>
    </row>
    <row r="25" spans="1:11" s="18" customFormat="1" x14ac:dyDescent="0.25"/>
  </sheetData>
  <hyperlinks>
    <hyperlink ref="J1" r:id="rId1" xr:uid="{00000000-0004-0000-0200-000000000000}"/>
  </hyperlinks>
  <printOptions gridLines="1"/>
  <pageMargins left="0.7" right="0.7" top="0.75" bottom="0.75" header="0.3" footer="0.3"/>
  <pageSetup paperSize="9" orientation="landscape"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24"/>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85546875" defaultRowHeight="15" x14ac:dyDescent="0.25"/>
  <cols>
    <col min="1" max="1" width="26.85546875" style="6" bestFit="1" customWidth="1"/>
    <col min="2" max="6" width="13.42578125" style="6" customWidth="1"/>
    <col min="7" max="11" width="13.42578125" style="6" bestFit="1" customWidth="1"/>
    <col min="12" max="16384" width="8.85546875" style="6"/>
  </cols>
  <sheetData>
    <row r="1" spans="1:11" s="8" customFormat="1" x14ac:dyDescent="0.25">
      <c r="A1" s="8" t="str">
        <f>'Balance Sheet'!A1</f>
        <v>JSW STEEL LTD</v>
      </c>
      <c r="E1" t="str">
        <f>UPDATE</f>
        <v>JSW STEEL LTD</v>
      </c>
      <c r="F1"/>
      <c r="J1" s="4" t="s">
        <v>1</v>
      </c>
      <c r="K1" s="4"/>
    </row>
    <row r="3" spans="1:11" s="2" customFormat="1" x14ac:dyDescent="0.25">
      <c r="A3" s="15" t="s">
        <v>2</v>
      </c>
      <c r="B3" s="16">
        <f>'Data Sheet'!B81</f>
        <v>42825</v>
      </c>
      <c r="C3" s="16">
        <f>'Data Sheet'!C81</f>
        <v>43190</v>
      </c>
      <c r="D3" s="16">
        <f>'Data Sheet'!D81</f>
        <v>43555</v>
      </c>
      <c r="E3" s="16">
        <f>'Data Sheet'!E81</f>
        <v>43921</v>
      </c>
      <c r="F3" s="16">
        <f>'Data Sheet'!F81</f>
        <v>44286</v>
      </c>
      <c r="G3" s="16">
        <f>'Data Sheet'!G81</f>
        <v>44651</v>
      </c>
      <c r="H3" s="16">
        <f>'Data Sheet'!H81</f>
        <v>45016</v>
      </c>
      <c r="I3" s="16">
        <f>'Data Sheet'!I81</f>
        <v>45382</v>
      </c>
      <c r="J3" s="16">
        <f>'Data Sheet'!J81</f>
        <v>45747</v>
      </c>
      <c r="K3" s="16">
        <f>'Data Sheet'!K81</f>
        <v>46112</v>
      </c>
    </row>
    <row r="4" spans="1:11" s="8" customFormat="1" x14ac:dyDescent="0.25">
      <c r="A4" s="8" t="s">
        <v>32</v>
      </c>
      <c r="B4" s="1">
        <f>'Data Sheet'!B82</f>
        <v>7888</v>
      </c>
      <c r="C4" s="1">
        <f>'Data Sheet'!C82</f>
        <v>12379</v>
      </c>
      <c r="D4" s="1">
        <f>'Data Sheet'!D82</f>
        <v>14633</v>
      </c>
      <c r="E4" s="1">
        <f>'Data Sheet'!E82</f>
        <v>12785</v>
      </c>
      <c r="F4" s="1">
        <f>'Data Sheet'!F82</f>
        <v>18831</v>
      </c>
      <c r="G4" s="1">
        <f>'Data Sheet'!G82</f>
        <v>26270</v>
      </c>
      <c r="H4" s="1">
        <f>'Data Sheet'!H82</f>
        <v>23323</v>
      </c>
      <c r="I4" s="1">
        <f>'Data Sheet'!I82</f>
        <v>12078</v>
      </c>
      <c r="J4" s="1">
        <f>'Data Sheet'!J82</f>
        <v>20899</v>
      </c>
      <c r="K4" s="1">
        <f>'Data Sheet'!K82</f>
        <v>25152</v>
      </c>
    </row>
    <row r="5" spans="1:11" x14ac:dyDescent="0.25">
      <c r="A5" s="6" t="s">
        <v>33</v>
      </c>
      <c r="B5" s="9">
        <f>'Data Sheet'!B83</f>
        <v>-5094</v>
      </c>
      <c r="C5" s="9">
        <f>'Data Sheet'!C83</f>
        <v>-4529</v>
      </c>
      <c r="D5" s="9">
        <f>'Data Sheet'!D83</f>
        <v>-11387</v>
      </c>
      <c r="E5" s="9">
        <f>'Data Sheet'!E83</f>
        <v>-19589</v>
      </c>
      <c r="F5" s="9">
        <f>'Data Sheet'!F83</f>
        <v>-9410</v>
      </c>
      <c r="G5" s="9">
        <f>'Data Sheet'!G83</f>
        <v>-14748</v>
      </c>
      <c r="H5" s="9">
        <f>'Data Sheet'!H83</f>
        <v>-10730</v>
      </c>
      <c r="I5" s="9">
        <f>'Data Sheet'!I83</f>
        <v>-14467</v>
      </c>
      <c r="J5" s="9">
        <f>'Data Sheet'!J83</f>
        <v>-17012</v>
      </c>
      <c r="K5" s="9">
        <f>'Data Sheet'!K83</f>
        <v>18690</v>
      </c>
    </row>
    <row r="6" spans="1:11" x14ac:dyDescent="0.25">
      <c r="A6" s="6" t="s">
        <v>34</v>
      </c>
      <c r="B6" s="9">
        <f>'Data Sheet'!B84</f>
        <v>-2710</v>
      </c>
      <c r="C6" s="9">
        <f>'Data Sheet'!C84</f>
        <v>-8185</v>
      </c>
      <c r="D6" s="9">
        <f>'Data Sheet'!D84</f>
        <v>1753</v>
      </c>
      <c r="E6" s="9">
        <f>'Data Sheet'!E84</f>
        <v>5189</v>
      </c>
      <c r="F6" s="9">
        <f>'Data Sheet'!F84</f>
        <v>-1444</v>
      </c>
      <c r="G6" s="9">
        <f>'Data Sheet'!G84</f>
        <v>-14657</v>
      </c>
      <c r="H6" s="9">
        <f>'Data Sheet'!H84</f>
        <v>-5977</v>
      </c>
      <c r="I6" s="9">
        <f>'Data Sheet'!I84</f>
        <v>-5005</v>
      </c>
      <c r="J6" s="9">
        <f>'Data Sheet'!J84</f>
        <v>-262</v>
      </c>
      <c r="K6" s="9">
        <f>'Data Sheet'!K84</f>
        <v>-16111</v>
      </c>
    </row>
    <row r="7" spans="1:11" s="8" customFormat="1" x14ac:dyDescent="0.25">
      <c r="A7" s="8" t="s">
        <v>35</v>
      </c>
      <c r="B7" s="1">
        <f>'Data Sheet'!B85</f>
        <v>84</v>
      </c>
      <c r="C7" s="1">
        <f>'Data Sheet'!C85</f>
        <v>-335</v>
      </c>
      <c r="D7" s="1">
        <f>'Data Sheet'!D85</f>
        <v>4999</v>
      </c>
      <c r="E7" s="1">
        <f>'Data Sheet'!E85</f>
        <v>-1615</v>
      </c>
      <c r="F7" s="1">
        <f>'Data Sheet'!F85</f>
        <v>7977</v>
      </c>
      <c r="G7" s="1">
        <f>'Data Sheet'!G85</f>
        <v>-3135</v>
      </c>
      <c r="H7" s="1">
        <f>'Data Sheet'!H85</f>
        <v>6616</v>
      </c>
      <c r="I7" s="1">
        <f>'Data Sheet'!I85</f>
        <v>-7394</v>
      </c>
      <c r="J7" s="1">
        <f>'Data Sheet'!J85</f>
        <v>3625</v>
      </c>
      <c r="K7" s="1">
        <f>'Data Sheet'!K85</f>
        <v>27731</v>
      </c>
    </row>
    <row r="8" spans="1:11" x14ac:dyDescent="0.25">
      <c r="A8" s="29"/>
      <c r="B8" s="9"/>
      <c r="C8" s="9"/>
      <c r="D8" s="9"/>
      <c r="E8" s="9"/>
      <c r="F8" s="9"/>
      <c r="G8" s="9"/>
      <c r="H8" s="9"/>
      <c r="I8" s="9"/>
      <c r="J8" s="9"/>
      <c r="K8" s="9"/>
    </row>
    <row r="24" s="29" customFormat="1" x14ac:dyDescent="0.25"/>
  </sheetData>
  <hyperlinks>
    <hyperlink ref="J1" r:id="rId1" xr:uid="{00000000-0004-0000-0300-000000000000}"/>
  </hyperlinks>
  <printOptions gridLines="1"/>
  <pageMargins left="0.7" right="0.7" top="0.75" bottom="0.75" header="0.3" footer="0.3"/>
  <pageSetup paperSize="9" orientation="landscape" horizontalDpi="0" verticalDpi="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B16" sqref="B16"/>
    </sheetView>
  </sheetViews>
  <sheetFormatPr defaultColWidth="8.85546875" defaultRowHeight="15" x14ac:dyDescent="0.25"/>
  <cols>
    <col min="1" max="1" width="8.85546875" style="8"/>
    <col min="2" max="2" width="10.42578125" style="11" customWidth="1"/>
    <col min="3" max="3" width="13.28515625" style="26" customWidth="1"/>
    <col min="4" max="5" width="8.85546875" style="11"/>
    <col min="6" max="6" width="6.85546875" style="11" customWidth="1"/>
    <col min="7" max="16384" width="8.85546875" style="11"/>
  </cols>
  <sheetData>
    <row r="1" spans="1:7" ht="21" x14ac:dyDescent="0.35">
      <c r="A1" s="25" t="s">
        <v>56</v>
      </c>
    </row>
    <row r="3" spans="1:7" x14ac:dyDescent="0.25">
      <c r="A3" s="8" t="s">
        <v>48</v>
      </c>
    </row>
    <row r="4" spans="1:7" x14ac:dyDescent="0.25">
      <c r="B4" s="11" t="s">
        <v>90</v>
      </c>
    </row>
    <row r="5" spans="1:7" x14ac:dyDescent="0.25">
      <c r="B5" s="11" t="s">
        <v>49</v>
      </c>
    </row>
    <row r="7" spans="1:7" x14ac:dyDescent="0.25">
      <c r="A7" s="8" t="s">
        <v>50</v>
      </c>
    </row>
    <row r="8" spans="1:7" x14ac:dyDescent="0.25">
      <c r="B8" s="11" t="s">
        <v>51</v>
      </c>
      <c r="C8" s="27" t="s">
        <v>91</v>
      </c>
    </row>
    <row r="10" spans="1:7" x14ac:dyDescent="0.25">
      <c r="A10" s="8" t="s">
        <v>52</v>
      </c>
    </row>
    <row r="11" spans="1:7" x14ac:dyDescent="0.25">
      <c r="B11" s="11" t="s">
        <v>53</v>
      </c>
    </row>
    <row r="14" spans="1:7" x14ac:dyDescent="0.25">
      <c r="A14" s="8" t="s">
        <v>54</v>
      </c>
    </row>
    <row r="15" spans="1:7" x14ac:dyDescent="0.25">
      <c r="B15" s="11" t="s">
        <v>55</v>
      </c>
    </row>
    <row r="16" spans="1:7" x14ac:dyDescent="0.25">
      <c r="B16" s="11" t="s">
        <v>92</v>
      </c>
      <c r="G16" s="28"/>
    </row>
  </sheetData>
  <hyperlinks>
    <hyperlink ref="C8" r:id="rId1" display=" http://www.screener.in/excel"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EDAF9-C0BF-44F4-843F-4E2CA6746565}">
  <dimension ref="A1:N116"/>
  <sheetViews>
    <sheetView showGridLines="0" zoomScale="85" zoomScaleNormal="85" workbookViewId="0">
      <pane ySplit="4" topLeftCell="A5" activePane="bottomLeft" state="frozen"/>
      <selection pane="bottomLeft" activeCell="A6" sqref="A6"/>
    </sheetView>
  </sheetViews>
  <sheetFormatPr defaultRowHeight="15" x14ac:dyDescent="0.25"/>
  <cols>
    <col min="1" max="1" width="2.5703125" customWidth="1"/>
    <col min="2" max="2" width="39.5703125" customWidth="1"/>
    <col min="3" max="13" width="12.7109375" customWidth="1"/>
  </cols>
  <sheetData>
    <row r="1" spans="1:13" ht="4.5" customHeight="1" x14ac:dyDescent="0.25"/>
    <row r="2" spans="1:13" ht="26.25" customHeight="1" x14ac:dyDescent="0.35">
      <c r="B2" s="126" t="str">
        <f>"Financial Statement - "&amp;'Data Sheet'!B1</f>
        <v>Financial Statement - JSW STEEL LTD</v>
      </c>
      <c r="C2" s="126"/>
      <c r="D2" s="126"/>
      <c r="E2" s="126"/>
    </row>
    <row r="4" spans="1:13" x14ac:dyDescent="0.25">
      <c r="B4" s="110" t="s">
        <v>209</v>
      </c>
      <c r="C4" s="121">
        <f>'Data Sheet'!B16</f>
        <v>42825</v>
      </c>
      <c r="D4" s="121">
        <f>'Data Sheet'!C16</f>
        <v>43190</v>
      </c>
      <c r="E4" s="121">
        <f>'Data Sheet'!D16</f>
        <v>43555</v>
      </c>
      <c r="F4" s="121">
        <f>'Data Sheet'!E16</f>
        <v>43921</v>
      </c>
      <c r="G4" s="121">
        <f>'Data Sheet'!F16</f>
        <v>44286</v>
      </c>
      <c r="H4" s="121">
        <f>'Data Sheet'!G16</f>
        <v>44651</v>
      </c>
      <c r="I4" s="121">
        <f>'Data Sheet'!H16</f>
        <v>45016</v>
      </c>
      <c r="J4" s="121">
        <f>'Data Sheet'!I16</f>
        <v>45382</v>
      </c>
      <c r="K4" s="121">
        <f>'Data Sheet'!J16</f>
        <v>45747</v>
      </c>
      <c r="L4" s="121">
        <f>'Data Sheet'!K16</f>
        <v>46112</v>
      </c>
      <c r="M4" s="136" t="s">
        <v>93</v>
      </c>
    </row>
    <row r="5" spans="1:13" x14ac:dyDescent="0.25">
      <c r="A5" s="113" t="s">
        <v>94</v>
      </c>
      <c r="B5" s="114" t="s">
        <v>95</v>
      </c>
      <c r="C5" s="114"/>
      <c r="D5" s="113"/>
      <c r="E5" s="113"/>
      <c r="F5" s="113"/>
      <c r="G5" s="113"/>
      <c r="H5" s="113"/>
      <c r="I5" s="113"/>
      <c r="J5" s="113"/>
      <c r="K5" s="113"/>
      <c r="L5" s="113"/>
      <c r="M5" s="113"/>
    </row>
    <row r="6" spans="1:13" x14ac:dyDescent="0.25">
      <c r="A6" s="41"/>
      <c r="B6" s="42"/>
      <c r="C6" s="42"/>
      <c r="D6" s="41"/>
      <c r="E6" s="41"/>
      <c r="F6" s="41"/>
      <c r="G6" s="41"/>
      <c r="H6" s="41"/>
      <c r="I6" s="41"/>
      <c r="J6" s="41"/>
      <c r="K6" s="41"/>
      <c r="L6" s="41"/>
      <c r="M6" s="41"/>
    </row>
    <row r="7" spans="1:13" x14ac:dyDescent="0.25">
      <c r="B7" t="s">
        <v>96</v>
      </c>
      <c r="C7" s="37">
        <f>'Data Sheet'!B17</f>
        <v>55604</v>
      </c>
      <c r="D7" s="34">
        <f>'Data Sheet'!C17</f>
        <v>71933</v>
      </c>
      <c r="E7" s="34">
        <f>'Data Sheet'!D17</f>
        <v>84757</v>
      </c>
      <c r="F7" s="34">
        <f>'Data Sheet'!E17</f>
        <v>73326</v>
      </c>
      <c r="G7" s="34">
        <f>'Data Sheet'!F17</f>
        <v>79839</v>
      </c>
      <c r="H7" s="34">
        <f>'Data Sheet'!G17</f>
        <v>146371</v>
      </c>
      <c r="I7" s="34">
        <f>'Data Sheet'!H17</f>
        <v>165960</v>
      </c>
      <c r="J7" s="34">
        <f>'Data Sheet'!I17</f>
        <v>175006</v>
      </c>
      <c r="K7" s="34">
        <f>'Data Sheet'!J17</f>
        <v>168824</v>
      </c>
      <c r="L7" s="34">
        <f>'Data Sheet'!K17</f>
        <v>185470</v>
      </c>
      <c r="M7" s="34">
        <f>IFERROR(SUM('Data Sheet'!H42:K42),0)</f>
        <v>185470</v>
      </c>
    </row>
    <row r="8" spans="1:13" x14ac:dyDescent="0.25">
      <c r="B8" s="35" t="s">
        <v>97</v>
      </c>
      <c r="C8" s="35"/>
      <c r="D8" s="36">
        <f>D7/C7-1</f>
        <v>0.29366592331486951</v>
      </c>
      <c r="E8" s="36">
        <f t="shared" ref="E8:I8" si="0">E7/D7-1</f>
        <v>0.17827700777112043</v>
      </c>
      <c r="F8" s="36">
        <f t="shared" si="0"/>
        <v>-0.13486791651427021</v>
      </c>
      <c r="G8" s="36">
        <f t="shared" si="0"/>
        <v>8.8822518615497836E-2</v>
      </c>
      <c r="H8" s="36">
        <f t="shared" si="0"/>
        <v>0.83332707072984391</v>
      </c>
      <c r="I8" s="36">
        <f t="shared" si="0"/>
        <v>0.13383115507853338</v>
      </c>
      <c r="J8" s="36">
        <f t="shared" ref="J8" si="1">J7/I7-1</f>
        <v>5.4507110147023363E-2</v>
      </c>
      <c r="K8" s="36">
        <f t="shared" ref="K8" si="2">K7/J7-1</f>
        <v>-3.5324503159891663E-2</v>
      </c>
      <c r="L8" s="36">
        <f t="shared" ref="L8" si="3">L7/K7-1</f>
        <v>9.8599725157560547E-2</v>
      </c>
      <c r="M8" s="36">
        <f>M7/L7-1</f>
        <v>0</v>
      </c>
    </row>
    <row r="10" spans="1:13" x14ac:dyDescent="0.25">
      <c r="B10" t="s">
        <v>98</v>
      </c>
      <c r="C10" s="37">
        <f>IFERROR(SUM('Data Sheet'!B18,'Data Sheet'!B20:B22)-1*'Data Sheet'!B19,0)</f>
        <v>41733</v>
      </c>
      <c r="D10" s="37">
        <f>IFERROR(SUM('Data Sheet'!C18,'Data Sheet'!C20:C22)-1*'Data Sheet'!C19,0)</f>
        <v>55278</v>
      </c>
      <c r="E10" s="37">
        <f>IFERROR(SUM('Data Sheet'!D18,'Data Sheet'!D20:D22)-1*'Data Sheet'!D19,0)</f>
        <v>62906</v>
      </c>
      <c r="F10" s="37">
        <f>IFERROR(SUM('Data Sheet'!E18,'Data Sheet'!E20:E22)-1*'Data Sheet'!E19,0)</f>
        <v>58084</v>
      </c>
      <c r="G10" s="37">
        <f>IFERROR(SUM('Data Sheet'!F18,'Data Sheet'!F20:F22)-1*'Data Sheet'!F19,0)</f>
        <v>57246</v>
      </c>
      <c r="H10" s="37">
        <f>IFERROR(SUM('Data Sheet'!G18,'Data Sheet'!G20:G22)-1*'Data Sheet'!G19,0)</f>
        <v>103778</v>
      </c>
      <c r="I10" s="37">
        <f>IFERROR(SUM('Data Sheet'!H18,'Data Sheet'!H20:H22)-1*'Data Sheet'!H19,0)</f>
        <v>140925</v>
      </c>
      <c r="J10" s="37">
        <f>IFERROR(SUM('Data Sheet'!I18,'Data Sheet'!I20:I22)-1*'Data Sheet'!I19,0)</f>
        <v>141101</v>
      </c>
      <c r="K10" s="37">
        <f>IFERROR(SUM('Data Sheet'!J18,'Data Sheet'!J20:J22)-1*'Data Sheet'!J19,0)</f>
        <v>139907</v>
      </c>
      <c r="L10" s="37">
        <f>IFERROR(SUM('Data Sheet'!K18,'Data Sheet'!K20:K22)-1*'Data Sheet'!K19,0)</f>
        <v>118028</v>
      </c>
      <c r="M10" s="34">
        <f>IFERROR(SUM('Data Sheet'!H43:K43),0)</f>
        <v>156124</v>
      </c>
    </row>
    <row r="11" spans="1:13" x14ac:dyDescent="0.25">
      <c r="B11" s="36" t="s">
        <v>99</v>
      </c>
      <c r="C11" s="36">
        <f>C10/C7</f>
        <v>0.75053952953024961</v>
      </c>
      <c r="D11" s="36">
        <f t="shared" ref="D11:M11" si="4">D10/D7</f>
        <v>0.76846509946756014</v>
      </c>
      <c r="E11" s="36">
        <f t="shared" si="4"/>
        <v>0.74219238528971054</v>
      </c>
      <c r="F11" s="36">
        <f t="shared" si="4"/>
        <v>0.79213375883042847</v>
      </c>
      <c r="G11" s="36">
        <f t="shared" si="4"/>
        <v>0.71701799872242888</v>
      </c>
      <c r="H11" s="36">
        <f t="shared" si="4"/>
        <v>0.70900656550819496</v>
      </c>
      <c r="I11" s="36">
        <f t="shared" si="4"/>
        <v>0.8491503976861895</v>
      </c>
      <c r="J11" s="36">
        <f t="shared" si="4"/>
        <v>0.80626378524164888</v>
      </c>
      <c r="K11" s="36">
        <f t="shared" si="4"/>
        <v>0.8287151115955077</v>
      </c>
      <c r="L11" s="36">
        <f t="shared" si="4"/>
        <v>0.63637245915781526</v>
      </c>
      <c r="M11" s="36">
        <f t="shared" si="4"/>
        <v>0.84177495012670511</v>
      </c>
    </row>
    <row r="13" spans="1:13" x14ac:dyDescent="0.25">
      <c r="B13" t="s">
        <v>100</v>
      </c>
      <c r="C13" s="34">
        <f>IFERROR(SUM(C7)-C10,0)</f>
        <v>13871</v>
      </c>
      <c r="D13" s="37">
        <f t="shared" ref="D13:M13" si="5">IFERROR(SUM(D7)-D10,0)</f>
        <v>16655</v>
      </c>
      <c r="E13" s="37">
        <f t="shared" si="5"/>
        <v>21851</v>
      </c>
      <c r="F13" s="37">
        <f t="shared" si="5"/>
        <v>15242</v>
      </c>
      <c r="G13" s="37">
        <f t="shared" si="5"/>
        <v>22593</v>
      </c>
      <c r="H13" s="37">
        <f t="shared" si="5"/>
        <v>42593</v>
      </c>
      <c r="I13" s="37">
        <f t="shared" si="5"/>
        <v>25035</v>
      </c>
      <c r="J13" s="37">
        <f t="shared" si="5"/>
        <v>33905</v>
      </c>
      <c r="K13" s="37">
        <f t="shared" si="5"/>
        <v>28917</v>
      </c>
      <c r="L13" s="37">
        <f t="shared" si="5"/>
        <v>67442</v>
      </c>
      <c r="M13" s="37">
        <f t="shared" si="5"/>
        <v>29346</v>
      </c>
    </row>
    <row r="14" spans="1:13" x14ac:dyDescent="0.25">
      <c r="B14" s="36" t="s">
        <v>102</v>
      </c>
      <c r="C14" s="36">
        <f>C13/C7</f>
        <v>0.24946047046975037</v>
      </c>
      <c r="D14" s="36">
        <f t="shared" ref="D14:E14" si="6">D13/D7</f>
        <v>0.23153490053243991</v>
      </c>
      <c r="E14" s="36">
        <f t="shared" si="6"/>
        <v>0.2578076147102894</v>
      </c>
      <c r="F14" s="36">
        <f t="shared" ref="F14" si="7">F13/F7</f>
        <v>0.2078662411695715</v>
      </c>
      <c r="G14" s="36">
        <f t="shared" ref="G14" si="8">G13/G7</f>
        <v>0.28298200127757112</v>
      </c>
      <c r="H14" s="36">
        <f t="shared" ref="H14" si="9">H13/H7</f>
        <v>0.29099343449180509</v>
      </c>
      <c r="I14" s="36">
        <f t="shared" ref="I14" si="10">I13/I7</f>
        <v>0.15084960231381056</v>
      </c>
      <c r="J14" s="36">
        <f t="shared" ref="J14" si="11">J13/J7</f>
        <v>0.19373621475835115</v>
      </c>
      <c r="K14" s="36">
        <f t="shared" ref="K14" si="12">K13/K7</f>
        <v>0.17128488840449224</v>
      </c>
      <c r="L14" s="36">
        <f t="shared" ref="L14:M14" si="13">L13/L7</f>
        <v>0.36362754084218474</v>
      </c>
      <c r="M14" s="36">
        <f t="shared" si="13"/>
        <v>0.15822504987329486</v>
      </c>
    </row>
    <row r="15" spans="1:13" ht="14.25" customHeight="1" x14ac:dyDescent="0.25">
      <c r="C15" s="38"/>
    </row>
    <row r="16" spans="1:13" x14ac:dyDescent="0.25">
      <c r="B16" t="s">
        <v>101</v>
      </c>
      <c r="C16" s="34">
        <f>IFERROR(SUM('Data Sheet'!B23,'Data Sheet'!B24),0)</f>
        <v>1563</v>
      </c>
      <c r="D16" s="34">
        <f>IFERROR(SUM('Data Sheet'!C23,'Data Sheet'!C24),0)</f>
        <v>1739</v>
      </c>
      <c r="E16" s="34">
        <f>IFERROR(SUM('Data Sheet'!D23,'Data Sheet'!D24),0)</f>
        <v>2921</v>
      </c>
      <c r="F16" s="34">
        <f>IFERROR(SUM('Data Sheet'!E23,'Data Sheet'!E24),0)</f>
        <v>3429</v>
      </c>
      <c r="G16" s="34">
        <f>IFERROR(SUM('Data Sheet'!F23,'Data Sheet'!F24),0)</f>
        <v>2415</v>
      </c>
      <c r="H16" s="34">
        <f>IFERROR(SUM('Data Sheet'!G23,'Data Sheet'!G24),0)</f>
        <v>3479</v>
      </c>
      <c r="I16" s="34">
        <f>IFERROR(SUM('Data Sheet'!H23,'Data Sheet'!H24),0)</f>
        <v>6565</v>
      </c>
      <c r="J16" s="34">
        <f>IFERROR(SUM('Data Sheet'!I23,'Data Sheet'!I24),0)</f>
        <v>5748</v>
      </c>
      <c r="K16" s="34">
        <f>IFERROR(SUM('Data Sheet'!J23,'Data Sheet'!J24),0)</f>
        <v>6192</v>
      </c>
      <c r="L16" s="34">
        <f>IFERROR(SUM('Data Sheet'!K23,'Data Sheet'!K24),0)</f>
        <v>38096</v>
      </c>
      <c r="M16" s="34">
        <f>IFERROR(SUM('Data Sheet'!B23,'Data Sheet'!B24),0)</f>
        <v>1563</v>
      </c>
    </row>
    <row r="17" spans="2:13" x14ac:dyDescent="0.25">
      <c r="B17" s="36" t="s">
        <v>103</v>
      </c>
      <c r="C17" s="36">
        <f>C16/C7</f>
        <v>2.8109488526005325E-2</v>
      </c>
      <c r="D17" s="36">
        <f t="shared" ref="D17:M17" si="14">D16/D7</f>
        <v>2.4175274213504232E-2</v>
      </c>
      <c r="E17" s="36">
        <f t="shared" si="14"/>
        <v>3.4463230175678705E-2</v>
      </c>
      <c r="F17" s="36">
        <f t="shared" si="14"/>
        <v>4.6763767285819491E-2</v>
      </c>
      <c r="G17" s="36">
        <f t="shared" si="14"/>
        <v>3.024837485439447E-2</v>
      </c>
      <c r="H17" s="36">
        <f t="shared" si="14"/>
        <v>2.3768369417439247E-2</v>
      </c>
      <c r="I17" s="36">
        <f t="shared" si="14"/>
        <v>3.9557724752952515E-2</v>
      </c>
      <c r="J17" s="36">
        <f t="shared" si="14"/>
        <v>3.2844588185547925E-2</v>
      </c>
      <c r="K17" s="36">
        <f t="shared" si="14"/>
        <v>3.6677249680140266E-2</v>
      </c>
      <c r="L17" s="36">
        <f t="shared" si="14"/>
        <v>0.20540249096888985</v>
      </c>
      <c r="M17" s="36">
        <f t="shared" si="14"/>
        <v>8.4272389065617077E-3</v>
      </c>
    </row>
    <row r="19" spans="2:13" x14ac:dyDescent="0.25">
      <c r="B19" t="s">
        <v>211</v>
      </c>
      <c r="C19" s="34">
        <f>IFERROR(C13-C16,0)</f>
        <v>12308</v>
      </c>
      <c r="D19" s="34">
        <f t="shared" ref="D19:M19" si="15">IFERROR(D13-D16,0)</f>
        <v>14916</v>
      </c>
      <c r="E19" s="34">
        <f t="shared" si="15"/>
        <v>18930</v>
      </c>
      <c r="F19" s="34">
        <f t="shared" si="15"/>
        <v>11813</v>
      </c>
      <c r="G19" s="34">
        <f t="shared" si="15"/>
        <v>20178</v>
      </c>
      <c r="H19" s="34">
        <f t="shared" si="15"/>
        <v>39114</v>
      </c>
      <c r="I19" s="34">
        <f t="shared" si="15"/>
        <v>18470</v>
      </c>
      <c r="J19" s="34">
        <f t="shared" si="15"/>
        <v>28157</v>
      </c>
      <c r="K19" s="34">
        <f t="shared" si="15"/>
        <v>22725</v>
      </c>
      <c r="L19" s="34">
        <f t="shared" si="15"/>
        <v>29346</v>
      </c>
      <c r="M19" s="34">
        <f t="shared" si="15"/>
        <v>27783</v>
      </c>
    </row>
    <row r="20" spans="2:13" x14ac:dyDescent="0.25">
      <c r="B20" s="36" t="s">
        <v>212</v>
      </c>
      <c r="C20" s="142">
        <f>C19/C7</f>
        <v>0.22135098194374506</v>
      </c>
      <c r="D20" s="36">
        <f t="shared" ref="D20:L20" si="16">D19/D7</f>
        <v>0.20735962631893567</v>
      </c>
      <c r="E20" s="36">
        <f t="shared" si="16"/>
        <v>0.22334438453461072</v>
      </c>
      <c r="F20" s="36">
        <f t="shared" si="16"/>
        <v>0.16110247388375201</v>
      </c>
      <c r="G20" s="36">
        <f t="shared" si="16"/>
        <v>0.25273362642317665</v>
      </c>
      <c r="H20" s="36">
        <f t="shared" si="16"/>
        <v>0.26722506507436583</v>
      </c>
      <c r="I20" s="36">
        <f t="shared" si="16"/>
        <v>0.11129187756085804</v>
      </c>
      <c r="J20" s="36">
        <f t="shared" si="16"/>
        <v>0.16089162657280323</v>
      </c>
      <c r="K20" s="36">
        <f t="shared" si="16"/>
        <v>0.134607638724352</v>
      </c>
      <c r="L20" s="36">
        <f t="shared" si="16"/>
        <v>0.15822504987329486</v>
      </c>
      <c r="M20" s="36">
        <f t="shared" ref="M20" si="17">M19/M7</f>
        <v>0.14979781096673317</v>
      </c>
    </row>
    <row r="22" spans="2:13" x14ac:dyDescent="0.25">
      <c r="B22" t="s">
        <v>11</v>
      </c>
      <c r="C22" s="34">
        <f>IFERROR('Data Sheet'!B27,0)</f>
        <v>3768</v>
      </c>
      <c r="D22" s="34">
        <f>IFERROR('Data Sheet'!C27,0)</f>
        <v>3701</v>
      </c>
      <c r="E22" s="34">
        <f>IFERROR('Data Sheet'!D27,0)</f>
        <v>3917</v>
      </c>
      <c r="F22" s="34">
        <f>IFERROR('Data Sheet'!E27,0)</f>
        <v>4265</v>
      </c>
      <c r="G22" s="34">
        <f>IFERROR('Data Sheet'!F27,0)</f>
        <v>3957</v>
      </c>
      <c r="H22" s="34">
        <f>IFERROR('Data Sheet'!G27,0)</f>
        <v>4968</v>
      </c>
      <c r="I22" s="34">
        <f>IFERROR('Data Sheet'!H27,0)</f>
        <v>6902</v>
      </c>
      <c r="J22" s="34">
        <f>IFERROR('Data Sheet'!I27,0)</f>
        <v>8105</v>
      </c>
      <c r="K22" s="34">
        <f>IFERROR('Data Sheet'!J27,0)</f>
        <v>8412</v>
      </c>
      <c r="L22" s="34">
        <f>IFERROR('Data Sheet'!K27,0)</f>
        <v>9102</v>
      </c>
      <c r="M22" s="34">
        <f>IFERROR(SUM('Data Sheet'!H46:K46),0)</f>
        <v>9102</v>
      </c>
    </row>
    <row r="23" spans="2:13" x14ac:dyDescent="0.25">
      <c r="B23" s="36" t="s">
        <v>104</v>
      </c>
      <c r="C23" s="36">
        <f>C22/C7</f>
        <v>6.7764908999352558E-2</v>
      </c>
      <c r="D23" s="36">
        <f t="shared" ref="D23:M23" si="18">D22/D7</f>
        <v>5.1450655471063353E-2</v>
      </c>
      <c r="E23" s="36">
        <f t="shared" si="18"/>
        <v>4.6214471961017967E-2</v>
      </c>
      <c r="F23" s="36">
        <f t="shared" si="18"/>
        <v>5.8164907399830892E-2</v>
      </c>
      <c r="G23" s="36">
        <f t="shared" si="18"/>
        <v>4.9562244016082363E-2</v>
      </c>
      <c r="H23" s="36">
        <f t="shared" si="18"/>
        <v>3.3941149544650238E-2</v>
      </c>
      <c r="I23" s="36">
        <f t="shared" si="18"/>
        <v>4.1588334538442996E-2</v>
      </c>
      <c r="J23" s="36">
        <f t="shared" si="18"/>
        <v>4.6312697850359415E-2</v>
      </c>
      <c r="K23" s="36">
        <f t="shared" si="18"/>
        <v>4.9827038809647915E-2</v>
      </c>
      <c r="L23" s="36">
        <f t="shared" si="18"/>
        <v>4.9075322154526341E-2</v>
      </c>
      <c r="M23" s="36">
        <f t="shared" si="18"/>
        <v>4.9075322154526341E-2</v>
      </c>
    </row>
    <row r="25" spans="2:13" x14ac:dyDescent="0.25">
      <c r="B25" t="s">
        <v>301</v>
      </c>
      <c r="C25" s="34">
        <f>IFERROR('Data Sheet'!B26,0)</f>
        <v>3430</v>
      </c>
      <c r="D25" s="34">
        <f>IFERROR('Data Sheet'!C26,0)</f>
        <v>3387</v>
      </c>
      <c r="E25" s="34">
        <f>IFERROR('Data Sheet'!D26,0)</f>
        <v>4041</v>
      </c>
      <c r="F25" s="34">
        <f>IFERROR('Data Sheet'!E26,0)</f>
        <v>4246</v>
      </c>
      <c r="G25" s="34">
        <f>IFERROR('Data Sheet'!F26,0)</f>
        <v>4679</v>
      </c>
      <c r="H25" s="34">
        <f>IFERROR('Data Sheet'!G26,0)</f>
        <v>6001</v>
      </c>
      <c r="I25" s="34">
        <f>IFERROR('Data Sheet'!H26,0)</f>
        <v>7474</v>
      </c>
      <c r="J25" s="34">
        <f>IFERROR('Data Sheet'!I26,0)</f>
        <v>8172</v>
      </c>
      <c r="K25" s="34">
        <f>IFERROR('Data Sheet'!J26,0)</f>
        <v>9309</v>
      </c>
      <c r="L25" s="34">
        <f>IFERROR('Data Sheet'!K26,0)</f>
        <v>9601</v>
      </c>
      <c r="M25" s="34">
        <f>IFERROR(SUM('Data Sheet'!H45:K45),0)</f>
        <v>9601</v>
      </c>
    </row>
    <row r="26" spans="2:13" x14ac:dyDescent="0.25">
      <c r="B26" s="36" t="s">
        <v>105</v>
      </c>
      <c r="C26" s="36">
        <f>C25/C7</f>
        <v>6.1686209625206823E-2</v>
      </c>
      <c r="D26" s="36">
        <f t="shared" ref="D26:M26" si="19">D25/D7</f>
        <v>4.7085482323829121E-2</v>
      </c>
      <c r="E26" s="36">
        <f t="shared" si="19"/>
        <v>4.7677477966421654E-2</v>
      </c>
      <c r="F26" s="36">
        <f t="shared" si="19"/>
        <v>5.7905790579057904E-2</v>
      </c>
      <c r="G26" s="36">
        <f t="shared" si="19"/>
        <v>5.8605443454953096E-2</v>
      </c>
      <c r="H26" s="36">
        <f t="shared" si="19"/>
        <v>4.0998558457617969E-2</v>
      </c>
      <c r="I26" s="36">
        <f t="shared" si="19"/>
        <v>4.5034948180284404E-2</v>
      </c>
      <c r="J26" s="36">
        <f t="shared" si="19"/>
        <v>4.6695541867135981E-2</v>
      </c>
      <c r="K26" s="36">
        <f t="shared" si="19"/>
        <v>5.5140264417381415E-2</v>
      </c>
      <c r="L26" s="36">
        <f t="shared" si="19"/>
        <v>5.1765784223863701E-2</v>
      </c>
      <c r="M26" s="36">
        <f t="shared" si="19"/>
        <v>5.1765784223863701E-2</v>
      </c>
    </row>
    <row r="28" spans="2:13" x14ac:dyDescent="0.25">
      <c r="B28" t="s">
        <v>106</v>
      </c>
      <c r="C28" s="43">
        <f t="shared" ref="C28:M28" si="20">IFERROR(C19-C22-C25,0)</f>
        <v>5110</v>
      </c>
      <c r="D28" s="43">
        <f t="shared" si="20"/>
        <v>7828</v>
      </c>
      <c r="E28" s="43">
        <f t="shared" si="20"/>
        <v>10972</v>
      </c>
      <c r="F28" s="43">
        <f t="shared" si="20"/>
        <v>3302</v>
      </c>
      <c r="G28" s="43">
        <f t="shared" si="20"/>
        <v>11542</v>
      </c>
      <c r="H28" s="43">
        <f t="shared" si="20"/>
        <v>28145</v>
      </c>
      <c r="I28" s="43">
        <f t="shared" si="20"/>
        <v>4094</v>
      </c>
      <c r="J28" s="43">
        <f t="shared" si="20"/>
        <v>11880</v>
      </c>
      <c r="K28" s="43">
        <f t="shared" si="20"/>
        <v>5004</v>
      </c>
      <c r="L28" s="43">
        <f t="shared" si="20"/>
        <v>10643</v>
      </c>
      <c r="M28" s="43">
        <f t="shared" si="20"/>
        <v>9080</v>
      </c>
    </row>
    <row r="29" spans="2:13" x14ac:dyDescent="0.25">
      <c r="B29" s="36" t="s">
        <v>107</v>
      </c>
      <c r="C29" s="36">
        <f t="shared" ref="C29:L29" si="21">C28/C7</f>
        <v>9.1899863319185676E-2</v>
      </c>
      <c r="D29" s="36">
        <f t="shared" si="21"/>
        <v>0.10882348852404321</v>
      </c>
      <c r="E29" s="36">
        <f t="shared" si="21"/>
        <v>0.1294524346071711</v>
      </c>
      <c r="F29" s="36">
        <f t="shared" si="21"/>
        <v>4.5031775904863215E-2</v>
      </c>
      <c r="G29" s="36">
        <f t="shared" si="21"/>
        <v>0.14456593895214118</v>
      </c>
      <c r="H29" s="36">
        <f t="shared" si="21"/>
        <v>0.19228535707209762</v>
      </c>
      <c r="I29" s="36">
        <f t="shared" si="21"/>
        <v>2.4668594842130635E-2</v>
      </c>
      <c r="J29" s="36">
        <f t="shared" si="21"/>
        <v>6.7883386855307815E-2</v>
      </c>
      <c r="K29" s="36">
        <f t="shared" si="21"/>
        <v>2.9640335497322656E-2</v>
      </c>
      <c r="L29" s="36">
        <f t="shared" si="21"/>
        <v>5.7383943494904839E-2</v>
      </c>
    </row>
    <row r="31" spans="2:13" x14ac:dyDescent="0.25">
      <c r="B31" t="s">
        <v>108</v>
      </c>
      <c r="C31" s="43">
        <f>IFERROR('Data Sheet'!B29,0)</f>
        <v>1674</v>
      </c>
      <c r="D31" s="43">
        <f>IFERROR('Data Sheet'!C29,0)</f>
        <v>1538</v>
      </c>
      <c r="E31" s="43">
        <f>IFERROR('Data Sheet'!D29,0)</f>
        <v>3644</v>
      </c>
      <c r="F31" s="43">
        <f>IFERROR('Data Sheet'!E29,0)</f>
        <v>-906</v>
      </c>
      <c r="G31" s="43">
        <f>IFERROR('Data Sheet'!F29,0)</f>
        <v>4142</v>
      </c>
      <c r="H31" s="43">
        <f>IFERROR('Data Sheet'!G29,0)</f>
        <v>8807</v>
      </c>
      <c r="I31" s="43">
        <f>IFERROR('Data Sheet'!H29,0)</f>
        <v>1516</v>
      </c>
      <c r="J31" s="43">
        <f>IFERROR('Data Sheet'!I29,0)</f>
        <v>4407</v>
      </c>
      <c r="K31" s="43">
        <f>IFERROR('Data Sheet'!J29,0)</f>
        <v>1586</v>
      </c>
      <c r="L31" s="43">
        <f>IFERROR('Data Sheet'!K29,0)</f>
        <v>3742</v>
      </c>
      <c r="M31" s="43">
        <f>IFERROR(SUM('Data Sheet'!H48:K48),0)</f>
        <v>3742</v>
      </c>
    </row>
    <row r="32" spans="2:13" x14ac:dyDescent="0.25">
      <c r="B32" s="36" t="s">
        <v>303</v>
      </c>
      <c r="C32" s="36">
        <f>C31/C28</f>
        <v>0.32759295499021529</v>
      </c>
      <c r="D32" s="36">
        <f t="shared" ref="D32:M32" si="22">D31/D28</f>
        <v>0.19647419519672968</v>
      </c>
      <c r="E32" s="36">
        <f t="shared" si="22"/>
        <v>0.33211811884797665</v>
      </c>
      <c r="F32" s="36">
        <f t="shared" si="22"/>
        <v>-0.27437916414294367</v>
      </c>
      <c r="G32" s="36">
        <f t="shared" si="22"/>
        <v>0.35886328192687578</v>
      </c>
      <c r="H32" s="36">
        <f t="shared" si="22"/>
        <v>0.31291526025937111</v>
      </c>
      <c r="I32" s="36">
        <f t="shared" si="22"/>
        <v>0.37029799706888128</v>
      </c>
      <c r="J32" s="36">
        <f t="shared" si="22"/>
        <v>0.37095959595959593</v>
      </c>
      <c r="K32" s="36">
        <f t="shared" si="22"/>
        <v>0.31694644284572343</v>
      </c>
      <c r="L32" s="36">
        <f t="shared" si="22"/>
        <v>0.35159259607253596</v>
      </c>
      <c r="M32" s="36">
        <f t="shared" si="22"/>
        <v>0.41211453744493393</v>
      </c>
    </row>
    <row r="34" spans="2:14" x14ac:dyDescent="0.25">
      <c r="B34" s="33" t="s">
        <v>302</v>
      </c>
      <c r="C34" s="44">
        <f>IFERROR(C28-C31,0)</f>
        <v>3436</v>
      </c>
      <c r="D34" s="44">
        <f t="shared" ref="D34:M34" si="23">IFERROR(D28-D31,0)</f>
        <v>6290</v>
      </c>
      <c r="E34" s="44">
        <f t="shared" si="23"/>
        <v>7328</v>
      </c>
      <c r="F34" s="44">
        <f t="shared" si="23"/>
        <v>4208</v>
      </c>
      <c r="G34" s="44">
        <f t="shared" si="23"/>
        <v>7400</v>
      </c>
      <c r="H34" s="44">
        <f t="shared" si="23"/>
        <v>19338</v>
      </c>
      <c r="I34" s="44">
        <f t="shared" si="23"/>
        <v>2578</v>
      </c>
      <c r="J34" s="44">
        <f t="shared" si="23"/>
        <v>7473</v>
      </c>
      <c r="K34" s="44">
        <f t="shared" si="23"/>
        <v>3418</v>
      </c>
      <c r="L34" s="44">
        <f t="shared" si="23"/>
        <v>6901</v>
      </c>
      <c r="M34" s="44">
        <f t="shared" si="23"/>
        <v>5338</v>
      </c>
      <c r="N34" s="39"/>
    </row>
    <row r="35" spans="2:14" x14ac:dyDescent="0.25">
      <c r="B35" s="36" t="s">
        <v>109</v>
      </c>
      <c r="C35" s="36">
        <f t="shared" ref="C35:M35" si="24">C34/C7</f>
        <v>6.1794115531256744E-2</v>
      </c>
      <c r="D35" s="36">
        <f t="shared" si="24"/>
        <v>8.7442481197781266E-2</v>
      </c>
      <c r="E35" s="36">
        <f t="shared" si="24"/>
        <v>8.645893554514672E-2</v>
      </c>
      <c r="F35" s="36">
        <f t="shared" si="24"/>
        <v>5.7387556937511935E-2</v>
      </c>
      <c r="G35" s="36">
        <f t="shared" si="24"/>
        <v>9.2686531644935427E-2</v>
      </c>
      <c r="H35" s="36">
        <f t="shared" si="24"/>
        <v>0.13211633451981608</v>
      </c>
      <c r="I35" s="36">
        <f t="shared" si="24"/>
        <v>1.5533863581585924E-2</v>
      </c>
      <c r="J35" s="36">
        <f t="shared" si="24"/>
        <v>4.2701393095093881E-2</v>
      </c>
      <c r="K35" s="36">
        <f t="shared" si="24"/>
        <v>2.0245936596692413E-2</v>
      </c>
      <c r="L35" s="36">
        <f t="shared" si="24"/>
        <v>3.7208173828651533E-2</v>
      </c>
      <c r="M35" s="36">
        <f t="shared" si="24"/>
        <v>2.8780934922089826E-2</v>
      </c>
    </row>
    <row r="37" spans="2:14" x14ac:dyDescent="0.25">
      <c r="B37" s="34" t="s">
        <v>89</v>
      </c>
      <c r="C37" s="43">
        <v>288.72000000000003</v>
      </c>
      <c r="D37" s="43">
        <v>288.73</v>
      </c>
      <c r="E37" s="43">
        <v>288.73</v>
      </c>
      <c r="F37" s="43">
        <v>288.73</v>
      </c>
      <c r="G37" s="43">
        <v>308.89999999999998</v>
      </c>
      <c r="H37" s="43">
        <v>332.03</v>
      </c>
      <c r="I37" s="43">
        <v>332.07</v>
      </c>
      <c r="J37" s="43">
        <v>332.13</v>
      </c>
      <c r="K37" s="43">
        <v>332.37</v>
      </c>
      <c r="L37" s="43">
        <v>368.13</v>
      </c>
      <c r="M37" s="39"/>
      <c r="N37" s="39"/>
    </row>
    <row r="39" spans="2:14" x14ac:dyDescent="0.25">
      <c r="B39" s="34" t="s">
        <v>57</v>
      </c>
      <c r="C39" s="43">
        <f>IFERROR(C34/C37,0)</f>
        <v>11.900803546688833</v>
      </c>
      <c r="D39" s="43">
        <f t="shared" ref="D39:L39" si="25">IFERROR(D34/D37,0)</f>
        <v>21.785058705364872</v>
      </c>
      <c r="E39" s="43">
        <f t="shared" si="25"/>
        <v>25.380112908253384</v>
      </c>
      <c r="F39" s="43">
        <f t="shared" si="25"/>
        <v>14.574169639455546</v>
      </c>
      <c r="G39" s="43">
        <f t="shared" si="25"/>
        <v>23.955972806733573</v>
      </c>
      <c r="H39" s="43">
        <f t="shared" si="25"/>
        <v>58.241725145318199</v>
      </c>
      <c r="I39" s="43">
        <f t="shared" si="25"/>
        <v>7.7634233745896948</v>
      </c>
      <c r="J39" s="43">
        <f t="shared" si="25"/>
        <v>22.500225815192845</v>
      </c>
      <c r="K39" s="43">
        <f t="shared" si="25"/>
        <v>10.2837199506574</v>
      </c>
      <c r="L39" s="43">
        <f t="shared" si="25"/>
        <v>18.746095129437972</v>
      </c>
    </row>
    <row r="40" spans="2:14" x14ac:dyDescent="0.25">
      <c r="B40" s="36" t="s">
        <v>110</v>
      </c>
      <c r="D40" s="36">
        <f t="shared" ref="D40:L40" si="26">IFERROR(D39/C39-1,0)</f>
        <v>0.83055359412483876</v>
      </c>
      <c r="E40" s="36">
        <f t="shared" si="26"/>
        <v>0.16502384737678866</v>
      </c>
      <c r="F40" s="36">
        <f t="shared" si="26"/>
        <v>-0.42576419213973804</v>
      </c>
      <c r="G40" s="36">
        <f t="shared" si="26"/>
        <v>0.64372814365213515</v>
      </c>
      <c r="H40" s="36">
        <f t="shared" si="26"/>
        <v>1.4311984996471336</v>
      </c>
      <c r="I40" s="36">
        <f t="shared" si="26"/>
        <v>-0.8667034097080869</v>
      </c>
      <c r="J40" s="36">
        <f t="shared" si="26"/>
        <v>1.8982350606870009</v>
      </c>
      <c r="K40" s="36">
        <f t="shared" si="26"/>
        <v>-0.54295036702638266</v>
      </c>
      <c r="L40" s="36">
        <f t="shared" si="26"/>
        <v>0.82289047342636024</v>
      </c>
      <c r="M40" s="36"/>
    </row>
    <row r="42" spans="2:14" x14ac:dyDescent="0.25">
      <c r="B42" s="34" t="s">
        <v>111</v>
      </c>
      <c r="C42" s="43">
        <f>IFERROR('Data Sheet'!B31/C37,0)</f>
        <v>2.3456982543640894</v>
      </c>
      <c r="D42" s="43">
        <f>IFERROR('Data Sheet'!C31/D37,0)</f>
        <v>3.3470716586430225</v>
      </c>
      <c r="E42" s="43">
        <f>IFERROR('Data Sheet'!D31/E37,0)</f>
        <v>4.2742354448792987</v>
      </c>
      <c r="F42" s="43">
        <f>IFERROR('Data Sheet'!E31/F37,0)</f>
        <v>2.0849928999411214</v>
      </c>
      <c r="G42" s="43">
        <f>IFERROR('Data Sheet'!F31/G37,0)</f>
        <v>6.3548073810294596</v>
      </c>
      <c r="H42" s="43">
        <f>IFERROR('Data Sheet'!G31/H37,0)</f>
        <v>15.728548625124239</v>
      </c>
      <c r="I42" s="43">
        <f>IFERROR('Data Sheet'!H31/I37,0)</f>
        <v>3.0818803264371968</v>
      </c>
      <c r="J42" s="43">
        <f>IFERROR('Data Sheet'!I31/J37,0)</f>
        <v>6.7037003582934398</v>
      </c>
      <c r="K42" s="43">
        <f>IFERROR('Data Sheet'!J31/K37,0)</f>
        <v>2.5694256400998885</v>
      </c>
      <c r="L42" s="43">
        <f>IFERROR('Data Sheet'!K31/L37,0)</f>
        <v>5.8824328362263332</v>
      </c>
      <c r="M42" s="43"/>
    </row>
    <row r="43" spans="2:14" x14ac:dyDescent="0.25">
      <c r="B43" s="36" t="s">
        <v>112</v>
      </c>
      <c r="C43" s="36">
        <f>IFERROR(C42/C39,0)</f>
        <v>0.19710419091967402</v>
      </c>
      <c r="D43" s="36">
        <f t="shared" ref="D43:L43" si="27">IFERROR(D42/D39,0)</f>
        <v>0.15364069952305245</v>
      </c>
      <c r="E43" s="36">
        <f t="shared" si="27"/>
        <v>0.16840884279475982</v>
      </c>
      <c r="F43" s="36">
        <f t="shared" si="27"/>
        <v>0.14306083650190116</v>
      </c>
      <c r="G43" s="36">
        <f t="shared" si="27"/>
        <v>0.26527027027027023</v>
      </c>
      <c r="H43" s="36">
        <f t="shared" si="27"/>
        <v>0.27005636570482988</v>
      </c>
      <c r="I43" s="36">
        <f t="shared" si="27"/>
        <v>0.3969743987587277</v>
      </c>
      <c r="J43" s="36">
        <f t="shared" si="27"/>
        <v>0.29793924795932025</v>
      </c>
      <c r="K43" s="36">
        <f t="shared" si="27"/>
        <v>0.24985371562317144</v>
      </c>
      <c r="L43" s="36">
        <f t="shared" si="27"/>
        <v>0.31379510215910733</v>
      </c>
    </row>
    <row r="45" spans="2:14" x14ac:dyDescent="0.25">
      <c r="B45" s="36" t="s">
        <v>113</v>
      </c>
      <c r="C45" s="36">
        <f>IFERROR(IF(C39&gt;C42,1-C43,0),0)</f>
        <v>0.80289580908032598</v>
      </c>
      <c r="D45" s="36">
        <f t="shared" ref="D45:L45" si="28">IFERROR(IF(D39&gt;D42,1-D43,0),0)</f>
        <v>0.84635930047694752</v>
      </c>
      <c r="E45" s="36">
        <f t="shared" si="28"/>
        <v>0.83159115720524013</v>
      </c>
      <c r="F45" s="36">
        <f t="shared" si="28"/>
        <v>0.85693916349809884</v>
      </c>
      <c r="G45" s="36">
        <f t="shared" si="28"/>
        <v>0.73472972972972972</v>
      </c>
      <c r="H45" s="36">
        <f t="shared" si="28"/>
        <v>0.72994363429517017</v>
      </c>
      <c r="I45" s="36">
        <f t="shared" si="28"/>
        <v>0.60302560124127225</v>
      </c>
      <c r="J45" s="36">
        <f t="shared" si="28"/>
        <v>0.70206075204067975</v>
      </c>
      <c r="K45" s="36">
        <f t="shared" si="28"/>
        <v>0.75014628437682851</v>
      </c>
      <c r="L45" s="36">
        <f t="shared" si="28"/>
        <v>0.68620489784089267</v>
      </c>
    </row>
    <row r="50" spans="1:13" x14ac:dyDescent="0.25">
      <c r="A50" s="81" t="s">
        <v>94</v>
      </c>
      <c r="B50" s="82" t="s">
        <v>114</v>
      </c>
      <c r="C50" s="82"/>
      <c r="D50" s="81"/>
      <c r="E50" s="81"/>
      <c r="F50" s="81"/>
      <c r="G50" s="81"/>
      <c r="H50" s="81"/>
      <c r="I50" s="81"/>
      <c r="J50" s="81"/>
      <c r="K50" s="81"/>
      <c r="L50" s="81"/>
      <c r="M50" s="81"/>
    </row>
    <row r="52" spans="1:13" x14ac:dyDescent="0.25">
      <c r="B52" s="9" t="s">
        <v>24</v>
      </c>
      <c r="C52" s="43">
        <f>IFERROR('Data Sheet'!B57,0)</f>
        <v>301</v>
      </c>
      <c r="D52" s="43">
        <f>IFERROR('Data Sheet'!C57,0)</f>
        <v>302</v>
      </c>
      <c r="E52" s="43">
        <f>IFERROR('Data Sheet'!D57,0)</f>
        <v>301</v>
      </c>
      <c r="F52" s="43">
        <f>IFERROR('Data Sheet'!E57,0)</f>
        <v>301</v>
      </c>
      <c r="G52" s="43">
        <f>IFERROR('Data Sheet'!F57,0)</f>
        <v>302</v>
      </c>
      <c r="H52" s="43">
        <f>IFERROR('Data Sheet'!G57,0)</f>
        <v>301</v>
      </c>
      <c r="I52" s="43">
        <f>IFERROR('Data Sheet'!H57,0)</f>
        <v>301</v>
      </c>
      <c r="J52" s="43">
        <f>IFERROR('Data Sheet'!I57,0)</f>
        <v>305</v>
      </c>
      <c r="K52" s="43">
        <f>IFERROR('Data Sheet'!J57,0)</f>
        <v>305</v>
      </c>
      <c r="L52" s="43">
        <f>IFERROR('Data Sheet'!K57,0)</f>
        <v>305</v>
      </c>
      <c r="M52" s="43"/>
    </row>
    <row r="53" spans="1:13" x14ac:dyDescent="0.25">
      <c r="B53" s="9" t="s">
        <v>25</v>
      </c>
      <c r="C53" s="43">
        <f>IFERROR('Data Sheet'!B58,0)</f>
        <v>22346</v>
      </c>
      <c r="D53" s="43">
        <f>IFERROR('Data Sheet'!C58,0)</f>
        <v>27696</v>
      </c>
      <c r="E53" s="43">
        <f>IFERROR('Data Sheet'!D58,0)</f>
        <v>34494</v>
      </c>
      <c r="F53" s="43">
        <f>IFERROR('Data Sheet'!E58,0)</f>
        <v>36298</v>
      </c>
      <c r="G53" s="43">
        <f>IFERROR('Data Sheet'!F58,0)</f>
        <v>45308</v>
      </c>
      <c r="H53" s="43">
        <f>IFERROR('Data Sheet'!G58,0)</f>
        <v>66996</v>
      </c>
      <c r="I53" s="43">
        <f>IFERROR('Data Sheet'!H58,0)</f>
        <v>65394</v>
      </c>
      <c r="J53" s="43">
        <f>IFERROR('Data Sheet'!I58,0)</f>
        <v>77364</v>
      </c>
      <c r="K53" s="43">
        <f>IFERROR('Data Sheet'!J58,0)</f>
        <v>79191</v>
      </c>
      <c r="L53" s="43">
        <f>IFERROR('Data Sheet'!K58,0)</f>
        <v>99748</v>
      </c>
      <c r="M53" s="43"/>
    </row>
    <row r="54" spans="1:13" x14ac:dyDescent="0.25">
      <c r="B54" s="9" t="s">
        <v>71</v>
      </c>
      <c r="C54" s="43">
        <f>IFERROR('Data Sheet'!B59,0)</f>
        <v>43334</v>
      </c>
      <c r="D54" s="43">
        <f>IFERROR('Data Sheet'!C59,0)</f>
        <v>39393</v>
      </c>
      <c r="E54" s="43">
        <f>IFERROR('Data Sheet'!D59,0)</f>
        <v>47396</v>
      </c>
      <c r="F54" s="43">
        <f>IFERROR('Data Sheet'!E59,0)</f>
        <v>61423</v>
      </c>
      <c r="G54" s="43">
        <f>IFERROR('Data Sheet'!F59,0)</f>
        <v>66727</v>
      </c>
      <c r="H54" s="43">
        <f>IFERROR('Data Sheet'!G59,0)</f>
        <v>72237</v>
      </c>
      <c r="I54" s="43">
        <f>IFERROR('Data Sheet'!H59,0)</f>
        <v>80853</v>
      </c>
      <c r="J54" s="43">
        <f>IFERROR('Data Sheet'!I59,0)</f>
        <v>87984</v>
      </c>
      <c r="K54" s="43">
        <f>IFERROR('Data Sheet'!J59,0)</f>
        <v>98752</v>
      </c>
      <c r="L54" s="43">
        <f>IFERROR('Data Sheet'!K59,0)</f>
        <v>99310</v>
      </c>
      <c r="M54" s="43"/>
    </row>
    <row r="55" spans="1:13" x14ac:dyDescent="0.25">
      <c r="B55" s="9" t="s">
        <v>72</v>
      </c>
      <c r="C55" s="43">
        <f>IFERROR('Data Sheet'!B60,0)</f>
        <v>22024</v>
      </c>
      <c r="D55" s="43">
        <f>IFERROR('Data Sheet'!C60,0)</f>
        <v>24579</v>
      </c>
      <c r="E55" s="43">
        <f>IFERROR('Data Sheet'!D60,0)</f>
        <v>32606</v>
      </c>
      <c r="F55" s="43">
        <f>IFERROR('Data Sheet'!E60,0)</f>
        <v>33798</v>
      </c>
      <c r="G55" s="43">
        <f>IFERROR('Data Sheet'!F60,0)</f>
        <v>34826</v>
      </c>
      <c r="H55" s="43">
        <f>IFERROR('Data Sheet'!G60,0)</f>
        <v>56951</v>
      </c>
      <c r="I55" s="43">
        <f>IFERROR('Data Sheet'!H60,0)</f>
        <v>63991</v>
      </c>
      <c r="J55" s="43">
        <f>IFERROR('Data Sheet'!I60,0)</f>
        <v>62245</v>
      </c>
      <c r="K55" s="43">
        <f>IFERROR('Data Sheet'!J60,0)</f>
        <v>62197</v>
      </c>
      <c r="L55" s="43">
        <f>IFERROR('Data Sheet'!K60,0)</f>
        <v>70313</v>
      </c>
      <c r="M55" s="43"/>
    </row>
    <row r="56" spans="1:13" x14ac:dyDescent="0.25">
      <c r="B56" s="106" t="s">
        <v>119</v>
      </c>
      <c r="C56" s="107">
        <f>IFERROR('Data Sheet'!B61,0)</f>
        <v>88005</v>
      </c>
      <c r="D56" s="107">
        <f>IFERROR('Data Sheet'!C61,0)</f>
        <v>91970</v>
      </c>
      <c r="E56" s="107">
        <f>IFERROR('Data Sheet'!D61,0)</f>
        <v>114797</v>
      </c>
      <c r="F56" s="107">
        <f>IFERROR('Data Sheet'!E61,0)</f>
        <v>131820</v>
      </c>
      <c r="G56" s="107">
        <f>IFERROR('Data Sheet'!F61,0)</f>
        <v>147163</v>
      </c>
      <c r="H56" s="107">
        <f>IFERROR('Data Sheet'!G61,0)</f>
        <v>196485</v>
      </c>
      <c r="I56" s="107">
        <f>IFERROR('Data Sheet'!H61,0)</f>
        <v>210539</v>
      </c>
      <c r="J56" s="107">
        <f>IFERROR('Data Sheet'!I61,0)</f>
        <v>227898</v>
      </c>
      <c r="K56" s="107">
        <f>IFERROR('Data Sheet'!J61,0)</f>
        <v>240445</v>
      </c>
      <c r="L56" s="107">
        <f>IFERROR('Data Sheet'!K61,0)</f>
        <v>269676</v>
      </c>
      <c r="M56" s="43"/>
    </row>
    <row r="57" spans="1:13" x14ac:dyDescent="0.25">
      <c r="C57" s="43"/>
      <c r="D57" s="43"/>
      <c r="E57" s="43"/>
      <c r="F57" s="43"/>
      <c r="G57" s="43"/>
      <c r="H57" s="43"/>
      <c r="I57" s="43"/>
      <c r="J57" s="43"/>
      <c r="K57" s="43"/>
      <c r="L57" s="43"/>
      <c r="M57" s="43"/>
    </row>
    <row r="58" spans="1:13" x14ac:dyDescent="0.25">
      <c r="B58" s="9" t="s">
        <v>115</v>
      </c>
      <c r="C58" s="43">
        <f>IFERROR('Data Sheet'!B62,0)</f>
        <v>58730</v>
      </c>
      <c r="D58" s="43">
        <f>IFERROR('Data Sheet'!C62,0)</f>
        <v>57848</v>
      </c>
      <c r="E58" s="43">
        <f>IFERROR('Data Sheet'!D62,0)</f>
        <v>62644</v>
      </c>
      <c r="F58" s="43">
        <f>IFERROR('Data Sheet'!E62,0)</f>
        <v>62085</v>
      </c>
      <c r="G58" s="43">
        <f>IFERROR('Data Sheet'!F62,0)</f>
        <v>64917</v>
      </c>
      <c r="H58" s="43">
        <f>IFERROR('Data Sheet'!G62,0)</f>
        <v>99880</v>
      </c>
      <c r="I58" s="43">
        <f>IFERROR('Data Sheet'!H62,0)</f>
        <v>104452</v>
      </c>
      <c r="J58" s="43">
        <f>IFERROR('Data Sheet'!I62,0)</f>
        <v>112461</v>
      </c>
      <c r="K58" s="43">
        <f>IFERROR('Data Sheet'!J62,0)</f>
        <v>124466</v>
      </c>
      <c r="L58" s="43">
        <f>IFERROR('Data Sheet'!K62,0)</f>
        <v>117552</v>
      </c>
      <c r="M58" s="43"/>
    </row>
    <row r="59" spans="1:13" x14ac:dyDescent="0.25">
      <c r="B59" s="9" t="s">
        <v>28</v>
      </c>
      <c r="C59" s="43">
        <f>IFERROR('Data Sheet'!B63,0)</f>
        <v>4363</v>
      </c>
      <c r="D59" s="43">
        <f>IFERROR('Data Sheet'!C63,0)</f>
        <v>5950</v>
      </c>
      <c r="E59" s="43">
        <f>IFERROR('Data Sheet'!D63,0)</f>
        <v>11889</v>
      </c>
      <c r="F59" s="43">
        <f>IFERROR('Data Sheet'!E63,0)</f>
        <v>27191</v>
      </c>
      <c r="G59" s="43">
        <f>IFERROR('Data Sheet'!F63,0)</f>
        <v>32566</v>
      </c>
      <c r="H59" s="43">
        <f>IFERROR('Data Sheet'!G63,0)</f>
        <v>16905</v>
      </c>
      <c r="I59" s="43">
        <f>IFERROR('Data Sheet'!H63,0)</f>
        <v>22166</v>
      </c>
      <c r="J59" s="43">
        <f>IFERROR('Data Sheet'!I63,0)</f>
        <v>29676</v>
      </c>
      <c r="K59" s="43">
        <f>IFERROR('Data Sheet'!J63,0)</f>
        <v>21007</v>
      </c>
      <c r="L59" s="43">
        <f>IFERROR('Data Sheet'!K63,0)</f>
        <v>21892</v>
      </c>
      <c r="M59" s="43"/>
    </row>
    <row r="60" spans="1:13" x14ac:dyDescent="0.25">
      <c r="B60" s="9" t="s">
        <v>29</v>
      </c>
      <c r="C60" s="43">
        <f>IFERROR('Data Sheet'!B64,0)</f>
        <v>1366</v>
      </c>
      <c r="D60" s="43">
        <f>IFERROR('Data Sheet'!C64,0)</f>
        <v>1469</v>
      </c>
      <c r="E60" s="43">
        <f>IFERROR('Data Sheet'!D64,0)</f>
        <v>1894</v>
      </c>
      <c r="F60" s="43">
        <f>IFERROR('Data Sheet'!E64,0)</f>
        <v>1259</v>
      </c>
      <c r="G60" s="43">
        <f>IFERROR('Data Sheet'!F64,0)</f>
        <v>7427</v>
      </c>
      <c r="H60" s="43">
        <f>IFERROR('Data Sheet'!G64,0)</f>
        <v>4940</v>
      </c>
      <c r="I60" s="43">
        <f>IFERROR('Data Sheet'!H64,0)</f>
        <v>4806</v>
      </c>
      <c r="J60" s="43">
        <f>IFERROR('Data Sheet'!I64,0)</f>
        <v>7246</v>
      </c>
      <c r="K60" s="43">
        <f>IFERROR('Data Sheet'!J64,0)</f>
        <v>15217</v>
      </c>
      <c r="L60" s="43">
        <f>IFERROR('Data Sheet'!K64,0)</f>
        <v>10218</v>
      </c>
      <c r="M60" s="43"/>
    </row>
    <row r="61" spans="1:13" x14ac:dyDescent="0.25">
      <c r="B61" s="9" t="s">
        <v>73</v>
      </c>
      <c r="C61" s="43">
        <f>IFERROR('Data Sheet'!B65-SUM('Data Sheet'!B67:B69),0)</f>
        <v>6517</v>
      </c>
      <c r="D61" s="43">
        <f>IFERROR('Data Sheet'!C65-SUM('Data Sheet'!C67:C69),0)</f>
        <v>8342</v>
      </c>
      <c r="E61" s="43">
        <f>IFERROR('Data Sheet'!D65-SUM('Data Sheet'!D67:D69),0)</f>
        <v>10475</v>
      </c>
      <c r="F61" s="43">
        <f>IFERROR('Data Sheet'!E65-SUM('Data Sheet'!E67:E69),0)</f>
        <v>11004</v>
      </c>
      <c r="G61" s="43">
        <f>IFERROR('Data Sheet'!F65-SUM('Data Sheet'!F67:F69),0)</f>
        <v>10705</v>
      </c>
      <c r="H61" s="43">
        <f>IFERROR('Data Sheet'!G65-SUM('Data Sheet'!G67:G69),0)</f>
        <v>16133</v>
      </c>
      <c r="I61" s="43">
        <f>IFERROR('Data Sheet'!H65-SUM('Data Sheet'!H67:H69),0)</f>
        <v>18132</v>
      </c>
      <c r="J61" s="43">
        <f>IFERROR('Data Sheet'!I65-SUM('Data Sheet'!I67:I69),0)</f>
        <v>20804</v>
      </c>
      <c r="K61" s="43">
        <f>IFERROR('Data Sheet'!J65-SUM('Data Sheet'!J67:J69),0)</f>
        <v>23099</v>
      </c>
      <c r="L61" s="43">
        <f>IFERROR('Data Sheet'!K65-SUM('Data Sheet'!K67:K69),0)</f>
        <v>35000</v>
      </c>
      <c r="M61" s="43"/>
    </row>
    <row r="62" spans="1:13" x14ac:dyDescent="0.25">
      <c r="B62" s="40" t="s">
        <v>116</v>
      </c>
      <c r="C62" s="49">
        <f>IFERROR(SUM(C58:C61),0)</f>
        <v>70976</v>
      </c>
      <c r="D62" s="49">
        <f t="shared" ref="D62:L62" si="29">IFERROR(SUM(D58:D61),0)</f>
        <v>73609</v>
      </c>
      <c r="E62" s="49">
        <f t="shared" si="29"/>
        <v>86902</v>
      </c>
      <c r="F62" s="49">
        <f t="shared" si="29"/>
        <v>101539</v>
      </c>
      <c r="G62" s="49">
        <f t="shared" si="29"/>
        <v>115615</v>
      </c>
      <c r="H62" s="49">
        <f t="shared" si="29"/>
        <v>137858</v>
      </c>
      <c r="I62" s="49">
        <f t="shared" si="29"/>
        <v>149556</v>
      </c>
      <c r="J62" s="49">
        <f t="shared" si="29"/>
        <v>170187</v>
      </c>
      <c r="K62" s="49">
        <f t="shared" si="29"/>
        <v>183789</v>
      </c>
      <c r="L62" s="49">
        <f t="shared" si="29"/>
        <v>184662</v>
      </c>
      <c r="M62" s="44"/>
    </row>
    <row r="63" spans="1:13" x14ac:dyDescent="0.25">
      <c r="C63" s="43"/>
      <c r="D63" s="43"/>
      <c r="E63" s="43"/>
      <c r="F63" s="43"/>
      <c r="G63" s="43"/>
      <c r="H63" s="43"/>
      <c r="I63" s="43"/>
      <c r="J63" s="43"/>
      <c r="K63" s="43"/>
      <c r="L63" s="43"/>
      <c r="M63" s="43"/>
    </row>
    <row r="64" spans="1:13" x14ac:dyDescent="0.25">
      <c r="B64" s="9" t="s">
        <v>78</v>
      </c>
      <c r="C64" s="43">
        <f>IFERROR('Data Sheet'!B67,0)</f>
        <v>4149</v>
      </c>
      <c r="D64" s="43">
        <f>IFERROR('Data Sheet'!C67,0)</f>
        <v>4704</v>
      </c>
      <c r="E64" s="43">
        <f>IFERROR('Data Sheet'!D67,0)</f>
        <v>7160</v>
      </c>
      <c r="F64" s="43">
        <f>IFERROR('Data Sheet'!E67,0)</f>
        <v>4505</v>
      </c>
      <c r="G64" s="43">
        <f>IFERROR('Data Sheet'!F67,0)</f>
        <v>4486</v>
      </c>
      <c r="H64" s="43">
        <f>IFERROR('Data Sheet'!G67,0)</f>
        <v>7457</v>
      </c>
      <c r="I64" s="43">
        <f>IFERROR('Data Sheet'!H67,0)</f>
        <v>7134</v>
      </c>
      <c r="J64" s="43">
        <f>IFERROR('Data Sheet'!I67,0)</f>
        <v>7548</v>
      </c>
      <c r="K64" s="43">
        <f>IFERROR('Data Sheet'!J67,0)</f>
        <v>8415</v>
      </c>
      <c r="L64" s="43">
        <f>IFERROR('Data Sheet'!K67,0)</f>
        <v>11260</v>
      </c>
      <c r="M64" s="43"/>
    </row>
    <row r="65" spans="1:13" x14ac:dyDescent="0.25">
      <c r="B65" s="9" t="s">
        <v>45</v>
      </c>
      <c r="C65" s="43">
        <f>IFERROR('Data Sheet'!B68,0)</f>
        <v>11395</v>
      </c>
      <c r="D65" s="43">
        <f>IFERROR('Data Sheet'!C68,0)</f>
        <v>12594</v>
      </c>
      <c r="E65" s="43">
        <f>IFERROR('Data Sheet'!D68,0)</f>
        <v>14548</v>
      </c>
      <c r="F65" s="43">
        <f>IFERROR('Data Sheet'!E68,0)</f>
        <v>13773</v>
      </c>
      <c r="G65" s="43">
        <f>IFERROR('Data Sheet'!F68,0)</f>
        <v>14249</v>
      </c>
      <c r="H65" s="43">
        <f>IFERROR('Data Sheet'!G68,0)</f>
        <v>33787</v>
      </c>
      <c r="I65" s="43">
        <f>IFERROR('Data Sheet'!H68,0)</f>
        <v>33135</v>
      </c>
      <c r="J65" s="43">
        <f>IFERROR('Data Sheet'!I68,0)</f>
        <v>37815</v>
      </c>
      <c r="K65" s="43">
        <f>IFERROR('Data Sheet'!J68,0)</f>
        <v>34956</v>
      </c>
      <c r="L65" s="43">
        <f>IFERROR('Data Sheet'!K68,0)</f>
        <v>32765</v>
      </c>
      <c r="M65" s="43"/>
    </row>
    <row r="66" spans="1:13" x14ac:dyDescent="0.25">
      <c r="B66" s="5" t="s">
        <v>87</v>
      </c>
      <c r="C66" s="43">
        <f>IFERROR('Data Sheet'!B69,0)</f>
        <v>1485</v>
      </c>
      <c r="D66" s="43">
        <f>IFERROR('Data Sheet'!C69,0)</f>
        <v>1063</v>
      </c>
      <c r="E66" s="43">
        <f>IFERROR('Data Sheet'!D69,0)</f>
        <v>6187</v>
      </c>
      <c r="F66" s="43">
        <f>IFERROR('Data Sheet'!E69,0)</f>
        <v>12003</v>
      </c>
      <c r="G66" s="43">
        <f>IFERROR('Data Sheet'!F69,0)</f>
        <v>12813</v>
      </c>
      <c r="H66" s="43">
        <f>IFERROR('Data Sheet'!G69,0)</f>
        <v>17383</v>
      </c>
      <c r="I66" s="43">
        <f>IFERROR('Data Sheet'!H69,0)</f>
        <v>20714</v>
      </c>
      <c r="J66" s="43">
        <f>IFERROR('Data Sheet'!I69,0)</f>
        <v>12348</v>
      </c>
      <c r="K66" s="43">
        <f>IFERROR('Data Sheet'!J69,0)</f>
        <v>13285</v>
      </c>
      <c r="L66" s="43">
        <f>IFERROR('Data Sheet'!K69,0)</f>
        <v>40989</v>
      </c>
      <c r="M66" s="43"/>
    </row>
    <row r="67" spans="1:13" x14ac:dyDescent="0.25">
      <c r="B67" s="40" t="s">
        <v>117</v>
      </c>
      <c r="C67" s="44">
        <f>SUM(C64:C66)</f>
        <v>17029</v>
      </c>
      <c r="D67" s="44">
        <f t="shared" ref="D67:L67" si="30">SUM(D64:D66)</f>
        <v>18361</v>
      </c>
      <c r="E67" s="44">
        <f t="shared" si="30"/>
        <v>27895</v>
      </c>
      <c r="F67" s="44">
        <f t="shared" si="30"/>
        <v>30281</v>
      </c>
      <c r="G67" s="44">
        <f t="shared" si="30"/>
        <v>31548</v>
      </c>
      <c r="H67" s="44">
        <f t="shared" si="30"/>
        <v>58627</v>
      </c>
      <c r="I67" s="44">
        <f t="shared" si="30"/>
        <v>60983</v>
      </c>
      <c r="J67" s="44">
        <f t="shared" si="30"/>
        <v>57711</v>
      </c>
      <c r="K67" s="44">
        <f t="shared" si="30"/>
        <v>56656</v>
      </c>
      <c r="L67" s="44">
        <f t="shared" si="30"/>
        <v>85014</v>
      </c>
      <c r="M67" s="43"/>
    </row>
    <row r="68" spans="1:13" x14ac:dyDescent="0.25">
      <c r="C68" s="43"/>
      <c r="D68" s="43"/>
      <c r="E68" s="43"/>
      <c r="F68" s="43"/>
      <c r="G68" s="43"/>
      <c r="H68" s="43"/>
      <c r="I68" s="43"/>
      <c r="J68" s="43"/>
      <c r="K68" s="43"/>
      <c r="L68" s="43"/>
      <c r="M68" s="43"/>
    </row>
    <row r="69" spans="1:13" x14ac:dyDescent="0.25">
      <c r="B69" s="108" t="s">
        <v>118</v>
      </c>
      <c r="C69" s="107">
        <f>IFERROR(SUM(C62+C67),0)</f>
        <v>88005</v>
      </c>
      <c r="D69" s="107">
        <f t="shared" ref="D69:L69" si="31">IFERROR(SUM(D62+D67),0)</f>
        <v>91970</v>
      </c>
      <c r="E69" s="107">
        <f t="shared" si="31"/>
        <v>114797</v>
      </c>
      <c r="F69" s="107">
        <f t="shared" si="31"/>
        <v>131820</v>
      </c>
      <c r="G69" s="107">
        <f t="shared" si="31"/>
        <v>147163</v>
      </c>
      <c r="H69" s="107">
        <f t="shared" si="31"/>
        <v>196485</v>
      </c>
      <c r="I69" s="107">
        <f t="shared" si="31"/>
        <v>210539</v>
      </c>
      <c r="J69" s="107">
        <f t="shared" si="31"/>
        <v>227898</v>
      </c>
      <c r="K69" s="107">
        <f t="shared" si="31"/>
        <v>240445</v>
      </c>
      <c r="L69" s="107">
        <f t="shared" si="31"/>
        <v>269676</v>
      </c>
      <c r="M69" s="43"/>
    </row>
    <row r="71" spans="1:13" x14ac:dyDescent="0.25">
      <c r="B71" s="33" t="s">
        <v>120</v>
      </c>
      <c r="C71" t="b">
        <f>C69=C56</f>
        <v>1</v>
      </c>
      <c r="D71" t="b">
        <f t="shared" ref="D71:L71" si="32">D69=D56</f>
        <v>1</v>
      </c>
      <c r="E71" t="b">
        <f t="shared" si="32"/>
        <v>1</v>
      </c>
      <c r="F71" t="b">
        <f t="shared" si="32"/>
        <v>1</v>
      </c>
      <c r="G71" t="b">
        <f t="shared" si="32"/>
        <v>1</v>
      </c>
      <c r="H71" t="b">
        <f t="shared" si="32"/>
        <v>1</v>
      </c>
      <c r="I71" t="b">
        <f t="shared" si="32"/>
        <v>1</v>
      </c>
      <c r="J71" t="b">
        <f t="shared" si="32"/>
        <v>1</v>
      </c>
      <c r="K71" t="b">
        <f t="shared" si="32"/>
        <v>1</v>
      </c>
      <c r="L71" t="b">
        <f t="shared" si="32"/>
        <v>1</v>
      </c>
    </row>
    <row r="74" spans="1:13" x14ac:dyDescent="0.25">
      <c r="A74" s="81" t="s">
        <v>94</v>
      </c>
      <c r="B74" s="82" t="s">
        <v>121</v>
      </c>
      <c r="C74" s="82"/>
      <c r="D74" s="81"/>
      <c r="E74" s="81"/>
      <c r="F74" s="81"/>
      <c r="G74" s="81"/>
      <c r="H74" s="81"/>
      <c r="I74" s="81"/>
      <c r="J74" s="81"/>
      <c r="K74" s="81"/>
      <c r="L74" s="81"/>
      <c r="M74" s="81"/>
    </row>
    <row r="75" spans="1:13" x14ac:dyDescent="0.25">
      <c r="B75" s="9" t="s">
        <v>32</v>
      </c>
      <c r="C75" s="43">
        <f>IFERROR('Data Sheet'!B82,0)</f>
        <v>7888</v>
      </c>
      <c r="D75" s="43">
        <f>IFERROR('Data Sheet'!C82,0)</f>
        <v>12379</v>
      </c>
      <c r="E75" s="43">
        <f>IFERROR('Data Sheet'!D82,0)</f>
        <v>14633</v>
      </c>
      <c r="F75" s="43">
        <f>IFERROR('Data Sheet'!E82,0)</f>
        <v>12785</v>
      </c>
      <c r="G75" s="43">
        <f>IFERROR('Data Sheet'!F82,0)</f>
        <v>18831</v>
      </c>
      <c r="H75" s="43">
        <f>IFERROR('Data Sheet'!G82,0)</f>
        <v>26270</v>
      </c>
      <c r="I75" s="43">
        <f>IFERROR('Data Sheet'!H82,0)</f>
        <v>23323</v>
      </c>
      <c r="J75" s="43">
        <f>IFERROR('Data Sheet'!I82,0)</f>
        <v>12078</v>
      </c>
      <c r="K75" s="43">
        <f>IFERROR('Data Sheet'!J82,0)</f>
        <v>20899</v>
      </c>
      <c r="L75" s="43">
        <f>IFERROR('Data Sheet'!K82,0)</f>
        <v>25152</v>
      </c>
    </row>
    <row r="76" spans="1:13" x14ac:dyDescent="0.25">
      <c r="B76" s="9"/>
      <c r="C76" s="43"/>
      <c r="D76" s="43"/>
      <c r="E76" s="43"/>
      <c r="F76" s="43"/>
      <c r="G76" s="43"/>
      <c r="H76" s="43"/>
      <c r="I76" s="43"/>
      <c r="J76" s="43"/>
      <c r="K76" s="43"/>
      <c r="L76" s="43"/>
    </row>
    <row r="77" spans="1:13" x14ac:dyDescent="0.25">
      <c r="A77" s="11"/>
      <c r="B77" s="9" t="s">
        <v>33</v>
      </c>
      <c r="C77" s="43">
        <f>IFERROR('Data Sheet'!B83,0)</f>
        <v>-5094</v>
      </c>
      <c r="D77" s="43">
        <f>IFERROR('Data Sheet'!C83,0)</f>
        <v>-4529</v>
      </c>
      <c r="E77" s="43">
        <f>IFERROR('Data Sheet'!D83,0)</f>
        <v>-11387</v>
      </c>
      <c r="F77" s="43">
        <f>IFERROR('Data Sheet'!E83,0)</f>
        <v>-19589</v>
      </c>
      <c r="G77" s="43">
        <f>IFERROR('Data Sheet'!F83,0)</f>
        <v>-9410</v>
      </c>
      <c r="H77" s="43">
        <f>IFERROR('Data Sheet'!G83,0)</f>
        <v>-14748</v>
      </c>
      <c r="I77" s="43">
        <f>IFERROR('Data Sheet'!H83,0)</f>
        <v>-10730</v>
      </c>
      <c r="J77" s="43">
        <f>IFERROR('Data Sheet'!I83,0)</f>
        <v>-14467</v>
      </c>
      <c r="K77" s="43">
        <f>IFERROR('Data Sheet'!J83,0)</f>
        <v>-17012</v>
      </c>
      <c r="L77" s="43">
        <f>IFERROR('Data Sheet'!K83,0)</f>
        <v>18690</v>
      </c>
      <c r="M77" s="11"/>
    </row>
    <row r="78" spans="1:13" x14ac:dyDescent="0.25">
      <c r="A78" s="11"/>
      <c r="B78" s="9"/>
      <c r="C78" s="43"/>
      <c r="D78" s="43"/>
      <c r="E78" s="43"/>
      <c r="F78" s="43"/>
      <c r="G78" s="43"/>
      <c r="H78" s="43"/>
      <c r="I78" s="43"/>
      <c r="J78" s="43"/>
      <c r="K78" s="43"/>
      <c r="L78" s="43"/>
      <c r="M78" s="11"/>
    </row>
    <row r="79" spans="1:13" x14ac:dyDescent="0.25">
      <c r="A79" s="11"/>
      <c r="B79" s="9" t="s">
        <v>34</v>
      </c>
      <c r="C79" s="43">
        <f>IFERROR('Data Sheet'!B84,0)</f>
        <v>-2710</v>
      </c>
      <c r="D79" s="43">
        <f>IFERROR('Data Sheet'!C84,0)</f>
        <v>-8185</v>
      </c>
      <c r="E79" s="43">
        <f>IFERROR('Data Sheet'!D84,0)</f>
        <v>1753</v>
      </c>
      <c r="F79" s="43">
        <f>IFERROR('Data Sheet'!E84,0)</f>
        <v>5189</v>
      </c>
      <c r="G79" s="43">
        <f>IFERROR('Data Sheet'!F84,0)</f>
        <v>-1444</v>
      </c>
      <c r="H79" s="43">
        <f>IFERROR('Data Sheet'!G84,0)</f>
        <v>-14657</v>
      </c>
      <c r="I79" s="43">
        <f>IFERROR('Data Sheet'!H84,0)</f>
        <v>-5977</v>
      </c>
      <c r="J79" s="43">
        <f>IFERROR('Data Sheet'!I84,0)</f>
        <v>-5005</v>
      </c>
      <c r="K79" s="43">
        <f>IFERROR('Data Sheet'!J84,0)</f>
        <v>-262</v>
      </c>
      <c r="L79" s="43">
        <f>IFERROR('Data Sheet'!K84,0)</f>
        <v>-16111</v>
      </c>
      <c r="M79" s="11"/>
    </row>
    <row r="80" spans="1:13" x14ac:dyDescent="0.25">
      <c r="A80" s="11"/>
      <c r="B80" s="9"/>
      <c r="C80" s="43"/>
      <c r="D80" s="43"/>
      <c r="E80" s="43"/>
      <c r="F80" s="43"/>
      <c r="G80" s="43"/>
      <c r="H80" s="43"/>
      <c r="I80" s="43"/>
      <c r="J80" s="43"/>
      <c r="K80" s="43"/>
      <c r="L80" s="43"/>
      <c r="M80" s="11"/>
    </row>
    <row r="81" spans="1:13" x14ac:dyDescent="0.25">
      <c r="A81" s="11"/>
      <c r="B81" s="106" t="s">
        <v>35</v>
      </c>
      <c r="C81" s="107">
        <f>IFERROR('Data Sheet'!B85,0)</f>
        <v>84</v>
      </c>
      <c r="D81" s="107">
        <f>IFERROR('Data Sheet'!C85,0)</f>
        <v>-335</v>
      </c>
      <c r="E81" s="107">
        <f>IFERROR('Data Sheet'!D85,0)</f>
        <v>4999</v>
      </c>
      <c r="F81" s="107">
        <f>IFERROR('Data Sheet'!E85,0)</f>
        <v>-1615</v>
      </c>
      <c r="G81" s="107">
        <f>IFERROR('Data Sheet'!F85,0)</f>
        <v>7977</v>
      </c>
      <c r="H81" s="107">
        <f>IFERROR('Data Sheet'!G85,0)</f>
        <v>-3135</v>
      </c>
      <c r="I81" s="107">
        <f>IFERROR('Data Sheet'!H85,0)</f>
        <v>6616</v>
      </c>
      <c r="J81" s="107">
        <f>IFERROR('Data Sheet'!I85,0)</f>
        <v>-7394</v>
      </c>
      <c r="K81" s="107">
        <f>IFERROR('Data Sheet'!J85,0)</f>
        <v>3625</v>
      </c>
      <c r="L81" s="107">
        <f>IFERROR('Data Sheet'!K85,0)</f>
        <v>27731</v>
      </c>
      <c r="M81" s="11"/>
    </row>
    <row r="82" spans="1:13" ht="15.75" x14ac:dyDescent="0.25">
      <c r="A82" s="11"/>
      <c r="B82" s="46"/>
      <c r="C82" s="45"/>
      <c r="D82" s="45"/>
      <c r="E82" s="45"/>
      <c r="F82" s="45"/>
      <c r="G82" s="45"/>
      <c r="H82" s="45"/>
      <c r="I82" s="45"/>
      <c r="J82" s="45"/>
      <c r="K82" s="45"/>
      <c r="L82" s="45"/>
      <c r="M82" s="11"/>
    </row>
    <row r="83" spans="1:13" ht="15.75" x14ac:dyDescent="0.25">
      <c r="A83" s="11"/>
      <c r="B83" s="46"/>
      <c r="C83" s="45"/>
      <c r="D83" s="45"/>
      <c r="E83" s="45"/>
      <c r="F83" s="45"/>
      <c r="G83" s="45"/>
      <c r="H83" s="45"/>
      <c r="I83" s="45"/>
      <c r="J83" s="45"/>
      <c r="K83" s="45"/>
      <c r="L83" s="45"/>
      <c r="M83" s="11"/>
    </row>
    <row r="84" spans="1:13" ht="15.75" x14ac:dyDescent="0.25">
      <c r="A84" s="11"/>
      <c r="B84" s="46"/>
      <c r="C84" s="45"/>
      <c r="D84" s="45"/>
      <c r="E84" s="45"/>
      <c r="F84" s="45"/>
      <c r="G84" s="45"/>
      <c r="H84" s="45"/>
      <c r="I84" s="45"/>
      <c r="J84" s="45"/>
      <c r="K84" s="45"/>
      <c r="L84" s="45"/>
      <c r="M84" s="11"/>
    </row>
    <row r="85" spans="1:13" ht="15.75" x14ac:dyDescent="0.25">
      <c r="A85" s="11"/>
      <c r="B85" s="46"/>
      <c r="C85" s="45"/>
      <c r="D85" s="45"/>
      <c r="E85" s="45"/>
      <c r="F85" s="45"/>
      <c r="G85" s="45"/>
      <c r="H85" s="45"/>
      <c r="I85" s="45"/>
      <c r="J85" s="45"/>
      <c r="K85" s="45"/>
      <c r="L85" s="45"/>
      <c r="M85" s="11"/>
    </row>
    <row r="86" spans="1:13" x14ac:dyDescent="0.25">
      <c r="A86" s="11"/>
      <c r="B86" s="47"/>
      <c r="C86" s="45"/>
      <c r="D86" s="45"/>
      <c r="E86" s="45"/>
      <c r="F86" s="45"/>
      <c r="G86" s="45"/>
      <c r="H86" s="45"/>
      <c r="I86" s="45"/>
      <c r="J86" s="45"/>
      <c r="K86" s="45"/>
      <c r="L86" s="45"/>
      <c r="M86" s="11"/>
    </row>
    <row r="87" spans="1:13" x14ac:dyDescent="0.25">
      <c r="A87" s="11"/>
      <c r="B87" s="47"/>
      <c r="C87" s="45"/>
      <c r="D87" s="45"/>
      <c r="E87" s="45"/>
      <c r="F87" s="45"/>
      <c r="G87" s="45"/>
      <c r="H87" s="45"/>
      <c r="I87" s="45"/>
      <c r="J87" s="45"/>
      <c r="K87" s="45"/>
      <c r="L87" s="45"/>
      <c r="M87" s="11"/>
    </row>
    <row r="88" spans="1:13" ht="15.75" x14ac:dyDescent="0.25">
      <c r="A88" s="11"/>
      <c r="B88" s="48"/>
      <c r="C88" s="49"/>
      <c r="D88" s="49"/>
      <c r="E88" s="49"/>
      <c r="F88" s="49"/>
      <c r="G88" s="49"/>
      <c r="H88" s="49"/>
      <c r="I88" s="49"/>
      <c r="J88" s="49"/>
      <c r="K88" s="49"/>
      <c r="L88" s="49"/>
      <c r="M88" s="11"/>
    </row>
    <row r="89" spans="1:13" x14ac:dyDescent="0.25">
      <c r="A89" s="11"/>
      <c r="B89" s="11"/>
      <c r="C89" s="45"/>
      <c r="D89" s="45"/>
      <c r="E89" s="45"/>
      <c r="F89" s="45"/>
      <c r="G89" s="45"/>
      <c r="H89" s="45"/>
      <c r="I89" s="45"/>
      <c r="J89" s="45"/>
      <c r="K89" s="45"/>
      <c r="L89" s="45"/>
      <c r="M89" s="11"/>
    </row>
    <row r="90" spans="1:13" ht="15.75" x14ac:dyDescent="0.25">
      <c r="A90" s="11"/>
      <c r="B90" s="48"/>
      <c r="C90" s="45"/>
      <c r="D90" s="45"/>
      <c r="E90" s="45"/>
      <c r="F90" s="45"/>
      <c r="G90" s="45"/>
      <c r="H90" s="45"/>
      <c r="I90" s="45"/>
      <c r="J90" s="45"/>
      <c r="K90" s="45"/>
      <c r="L90" s="45"/>
      <c r="M90" s="11"/>
    </row>
    <row r="91" spans="1:13" x14ac:dyDescent="0.25">
      <c r="A91" s="11"/>
      <c r="B91" s="50"/>
      <c r="C91" s="45"/>
      <c r="D91" s="45"/>
      <c r="E91" s="45"/>
      <c r="F91" s="45"/>
      <c r="G91" s="45"/>
      <c r="H91" s="45"/>
      <c r="I91" s="45"/>
      <c r="J91" s="45"/>
      <c r="K91" s="45"/>
      <c r="L91" s="45"/>
      <c r="M91" s="11"/>
    </row>
    <row r="92" spans="1:13" x14ac:dyDescent="0.25">
      <c r="A92" s="11"/>
      <c r="B92" s="50"/>
      <c r="C92" s="45"/>
      <c r="D92" s="45"/>
      <c r="E92" s="45"/>
      <c r="F92" s="45"/>
      <c r="G92" s="45"/>
      <c r="H92" s="45"/>
      <c r="I92" s="45"/>
      <c r="J92" s="45"/>
      <c r="K92" s="45"/>
      <c r="L92" s="45"/>
      <c r="M92" s="11"/>
    </row>
    <row r="93" spans="1:13" x14ac:dyDescent="0.25">
      <c r="A93" s="11"/>
      <c r="B93" s="50"/>
      <c r="C93" s="45"/>
      <c r="D93" s="45"/>
      <c r="E93" s="45"/>
      <c r="F93" s="45"/>
      <c r="G93" s="45"/>
      <c r="H93" s="45"/>
      <c r="I93" s="45"/>
      <c r="J93" s="45"/>
      <c r="K93" s="45"/>
      <c r="L93" s="45"/>
      <c r="M93" s="11"/>
    </row>
    <row r="94" spans="1:13" x14ac:dyDescent="0.25">
      <c r="A94" s="11"/>
      <c r="B94" s="50"/>
      <c r="C94" s="45"/>
      <c r="D94" s="45"/>
      <c r="E94" s="45"/>
      <c r="F94" s="45"/>
      <c r="G94" s="45"/>
      <c r="H94" s="45"/>
      <c r="I94" s="45"/>
      <c r="J94" s="45"/>
      <c r="K94" s="45"/>
      <c r="L94" s="45"/>
      <c r="M94" s="11"/>
    </row>
    <row r="95" spans="1:13" x14ac:dyDescent="0.25">
      <c r="A95" s="11"/>
      <c r="B95" s="50"/>
      <c r="C95" s="45"/>
      <c r="D95" s="45"/>
      <c r="E95" s="45"/>
      <c r="F95" s="45"/>
      <c r="G95" s="45"/>
      <c r="H95" s="45"/>
      <c r="I95" s="45"/>
      <c r="J95" s="45"/>
      <c r="K95" s="45"/>
      <c r="L95" s="45"/>
      <c r="M95" s="11"/>
    </row>
    <row r="96" spans="1:13" x14ac:dyDescent="0.25">
      <c r="A96" s="11"/>
      <c r="B96" s="50"/>
      <c r="C96" s="45"/>
      <c r="D96" s="45"/>
      <c r="E96" s="45"/>
      <c r="F96" s="45"/>
      <c r="G96" s="45"/>
      <c r="H96" s="45"/>
      <c r="I96" s="45"/>
      <c r="J96" s="45"/>
      <c r="K96" s="45"/>
      <c r="L96" s="45"/>
      <c r="M96" s="11"/>
    </row>
    <row r="97" spans="1:13" x14ac:dyDescent="0.25">
      <c r="A97" s="11"/>
      <c r="B97" s="50"/>
      <c r="C97" s="45"/>
      <c r="D97" s="45"/>
      <c r="E97" s="45"/>
      <c r="F97" s="45"/>
      <c r="G97" s="45"/>
      <c r="H97" s="45"/>
      <c r="I97" s="45"/>
      <c r="J97" s="45"/>
      <c r="K97" s="45"/>
      <c r="L97" s="45"/>
      <c r="M97" s="11"/>
    </row>
    <row r="98" spans="1:13" x14ac:dyDescent="0.25">
      <c r="A98" s="11"/>
      <c r="B98" s="50"/>
      <c r="C98" s="45"/>
      <c r="D98" s="45"/>
      <c r="E98" s="45"/>
      <c r="F98" s="45"/>
      <c r="G98" s="45"/>
      <c r="H98" s="45"/>
      <c r="I98" s="45"/>
      <c r="J98" s="45"/>
      <c r="K98" s="45"/>
      <c r="L98" s="45"/>
      <c r="M98" s="11"/>
    </row>
    <row r="99" spans="1:13" x14ac:dyDescent="0.25">
      <c r="A99" s="11"/>
      <c r="B99" s="50"/>
      <c r="C99" s="45"/>
      <c r="D99" s="45"/>
      <c r="E99" s="45"/>
      <c r="F99" s="45"/>
      <c r="G99" s="45"/>
      <c r="H99" s="45"/>
      <c r="I99" s="45"/>
      <c r="J99" s="45"/>
      <c r="K99" s="45"/>
      <c r="L99" s="45"/>
      <c r="M99" s="11"/>
    </row>
    <row r="100" spans="1:13" x14ac:dyDescent="0.25">
      <c r="A100" s="11"/>
      <c r="B100" s="50"/>
      <c r="C100" s="45"/>
      <c r="D100" s="45"/>
      <c r="E100" s="45"/>
      <c r="F100" s="45"/>
      <c r="G100" s="45"/>
      <c r="H100" s="45"/>
      <c r="I100" s="45"/>
      <c r="J100" s="45"/>
      <c r="K100" s="45"/>
      <c r="L100" s="45"/>
      <c r="M100" s="11"/>
    </row>
    <row r="101" spans="1:13" x14ac:dyDescent="0.25">
      <c r="A101" s="11"/>
      <c r="B101" s="50"/>
      <c r="C101" s="45"/>
      <c r="D101" s="45"/>
      <c r="E101" s="45"/>
      <c r="F101" s="45"/>
      <c r="G101" s="45"/>
      <c r="H101" s="45"/>
      <c r="I101" s="45"/>
      <c r="J101" s="45"/>
      <c r="K101" s="45"/>
      <c r="L101" s="45"/>
      <c r="M101" s="11"/>
    </row>
    <row r="102" spans="1:13" ht="15.75" x14ac:dyDescent="0.25">
      <c r="A102" s="11"/>
      <c r="B102" s="48"/>
      <c r="C102" s="49"/>
      <c r="D102" s="49"/>
      <c r="E102" s="49"/>
      <c r="F102" s="49"/>
      <c r="G102" s="49"/>
      <c r="H102" s="49"/>
      <c r="I102" s="49"/>
      <c r="J102" s="49"/>
      <c r="K102" s="49"/>
      <c r="L102" s="49"/>
      <c r="M102" s="11"/>
    </row>
    <row r="103" spans="1:13" x14ac:dyDescent="0.25">
      <c r="A103" s="11"/>
      <c r="B103" s="11"/>
      <c r="C103" s="45"/>
      <c r="D103" s="45"/>
      <c r="E103" s="45"/>
      <c r="F103" s="45"/>
      <c r="G103" s="45"/>
      <c r="H103" s="45"/>
      <c r="I103" s="45"/>
      <c r="J103" s="45"/>
      <c r="K103" s="45"/>
      <c r="L103" s="45"/>
      <c r="M103" s="11"/>
    </row>
    <row r="104" spans="1:13" ht="15.75" x14ac:dyDescent="0.25">
      <c r="A104" s="11"/>
      <c r="B104" s="48"/>
      <c r="C104" s="45"/>
      <c r="D104" s="45"/>
      <c r="E104" s="45"/>
      <c r="F104" s="45"/>
      <c r="G104" s="45"/>
      <c r="H104" s="45"/>
      <c r="I104" s="45"/>
      <c r="J104" s="45"/>
      <c r="K104" s="45"/>
      <c r="L104" s="45"/>
      <c r="M104" s="11"/>
    </row>
    <row r="105" spans="1:13" x14ac:dyDescent="0.25">
      <c r="A105" s="11"/>
      <c r="B105" s="51"/>
      <c r="C105" s="45"/>
      <c r="D105" s="45"/>
      <c r="E105" s="45"/>
      <c r="F105" s="45"/>
      <c r="G105" s="45"/>
      <c r="H105" s="45"/>
      <c r="I105" s="45"/>
      <c r="J105" s="45"/>
      <c r="K105" s="45"/>
      <c r="L105" s="45"/>
      <c r="M105" s="11"/>
    </row>
    <row r="106" spans="1:13" x14ac:dyDescent="0.25">
      <c r="A106" s="11"/>
      <c r="B106" s="51"/>
      <c r="C106" s="45"/>
      <c r="D106" s="45"/>
      <c r="E106" s="45"/>
      <c r="F106" s="45"/>
      <c r="G106" s="45"/>
      <c r="H106" s="45"/>
      <c r="I106" s="45"/>
      <c r="J106" s="45"/>
      <c r="K106" s="45"/>
      <c r="L106" s="45"/>
      <c r="M106" s="11"/>
    </row>
    <row r="107" spans="1:13" x14ac:dyDescent="0.25">
      <c r="A107" s="11"/>
      <c r="B107" s="51"/>
      <c r="C107" s="45"/>
      <c r="D107" s="45"/>
      <c r="E107" s="45"/>
      <c r="F107" s="45"/>
      <c r="G107" s="45"/>
      <c r="H107" s="45"/>
      <c r="I107" s="45"/>
      <c r="J107" s="45"/>
      <c r="K107" s="45"/>
      <c r="L107" s="45"/>
      <c r="M107" s="11"/>
    </row>
    <row r="108" spans="1:13" x14ac:dyDescent="0.25">
      <c r="A108" s="11"/>
      <c r="B108" s="51"/>
      <c r="C108" s="45"/>
      <c r="D108" s="45"/>
      <c r="E108" s="45"/>
      <c r="F108" s="45"/>
      <c r="G108" s="45"/>
      <c r="H108" s="45"/>
      <c r="I108" s="45"/>
      <c r="J108" s="45"/>
      <c r="K108" s="45"/>
      <c r="L108" s="45"/>
      <c r="M108" s="11"/>
    </row>
    <row r="109" spans="1:13" x14ac:dyDescent="0.25">
      <c r="A109" s="11"/>
      <c r="B109" s="51"/>
      <c r="C109" s="45"/>
      <c r="D109" s="45"/>
      <c r="E109" s="45"/>
      <c r="F109" s="45"/>
      <c r="G109" s="45"/>
      <c r="H109" s="45"/>
      <c r="I109" s="45"/>
      <c r="J109" s="45"/>
      <c r="K109" s="45"/>
      <c r="L109" s="45"/>
      <c r="M109" s="11"/>
    </row>
    <row r="110" spans="1:13" x14ac:dyDescent="0.25">
      <c r="A110" s="11"/>
      <c r="B110" s="51"/>
      <c r="C110" s="45"/>
      <c r="D110" s="45"/>
      <c r="E110" s="45"/>
      <c r="F110" s="45"/>
      <c r="G110" s="45"/>
      <c r="H110" s="45"/>
      <c r="I110" s="45"/>
      <c r="J110" s="45"/>
      <c r="K110" s="45"/>
      <c r="L110" s="45"/>
      <c r="M110" s="11"/>
    </row>
    <row r="111" spans="1:13" x14ac:dyDescent="0.25">
      <c r="A111" s="11"/>
      <c r="B111" s="51"/>
      <c r="C111" s="45"/>
      <c r="D111" s="45"/>
      <c r="E111" s="45"/>
      <c r="F111" s="45"/>
      <c r="G111" s="45"/>
      <c r="H111" s="45"/>
      <c r="I111" s="45"/>
      <c r="J111" s="45"/>
      <c r="K111" s="45"/>
      <c r="L111" s="45"/>
      <c r="M111" s="11"/>
    </row>
    <row r="112" spans="1:13" x14ac:dyDescent="0.25">
      <c r="A112" s="11"/>
      <c r="B112" s="51"/>
      <c r="C112" s="45"/>
      <c r="D112" s="45"/>
      <c r="E112" s="45"/>
      <c r="F112" s="45"/>
      <c r="G112" s="45"/>
      <c r="H112" s="45"/>
      <c r="I112" s="45"/>
      <c r="J112" s="45"/>
      <c r="K112" s="45"/>
      <c r="L112" s="45"/>
      <c r="M112" s="11"/>
    </row>
    <row r="113" spans="1:13" ht="15.75" x14ac:dyDescent="0.25">
      <c r="A113" s="11"/>
      <c r="B113" s="48"/>
      <c r="C113" s="49"/>
      <c r="D113" s="49"/>
      <c r="E113" s="49"/>
      <c r="F113" s="49"/>
      <c r="G113" s="49"/>
      <c r="H113" s="49"/>
      <c r="I113" s="49"/>
      <c r="J113" s="49"/>
      <c r="K113" s="49"/>
      <c r="L113" s="49"/>
      <c r="M113" s="11"/>
    </row>
    <row r="114" spans="1:13" x14ac:dyDescent="0.25">
      <c r="A114" s="11"/>
      <c r="B114" s="11"/>
      <c r="C114" s="11"/>
      <c r="D114" s="11"/>
      <c r="E114" s="11"/>
      <c r="F114" s="11"/>
      <c r="G114" s="11"/>
      <c r="H114" s="11"/>
      <c r="I114" s="11"/>
      <c r="J114" s="11"/>
      <c r="K114" s="11"/>
      <c r="L114" s="11"/>
      <c r="M114" s="11"/>
    </row>
    <row r="115" spans="1:13" x14ac:dyDescent="0.25">
      <c r="A115" s="11"/>
      <c r="B115" s="52"/>
      <c r="C115" s="49"/>
      <c r="D115" s="49"/>
      <c r="E115" s="49"/>
      <c r="F115" s="49"/>
      <c r="G115" s="49"/>
      <c r="H115" s="49"/>
      <c r="I115" s="49"/>
      <c r="J115" s="49"/>
      <c r="K115" s="49"/>
      <c r="L115" s="49"/>
      <c r="M115" s="11"/>
    </row>
    <row r="116" spans="1:13" x14ac:dyDescent="0.25">
      <c r="A116" s="11"/>
      <c r="B116" s="11"/>
      <c r="C116" s="11"/>
      <c r="D116" s="11"/>
      <c r="E116" s="11"/>
      <c r="F116" s="11"/>
      <c r="G116" s="11"/>
      <c r="H116" s="11"/>
      <c r="I116" s="11"/>
      <c r="J116" s="11"/>
      <c r="K116" s="11"/>
      <c r="L116" s="11"/>
      <c r="M116" s="11"/>
    </row>
  </sheetData>
  <pageMargins left="1" right="1"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28CF-2C8C-40F2-BF46-698337BCFA8A}">
  <dimension ref="A1:O45"/>
  <sheetViews>
    <sheetView showGridLines="0" workbookViewId="0">
      <pane ySplit="5" topLeftCell="A6" activePane="bottomLeft" state="frozen"/>
      <selection pane="bottomLeft" activeCell="H9" sqref="H9"/>
    </sheetView>
  </sheetViews>
  <sheetFormatPr defaultRowHeight="15" x14ac:dyDescent="0.25"/>
  <cols>
    <col min="1" max="1" width="1.85546875" customWidth="1"/>
    <col min="6" max="15" width="10.42578125" bestFit="1" customWidth="1"/>
  </cols>
  <sheetData>
    <row r="1" spans="1:15" x14ac:dyDescent="0.25">
      <c r="A1" t="s">
        <v>298</v>
      </c>
    </row>
    <row r="2" spans="1:15" ht="23.25" x14ac:dyDescent="0.35">
      <c r="B2" s="126" t="s">
        <v>299</v>
      </c>
    </row>
    <row r="5" spans="1:15" x14ac:dyDescent="0.25">
      <c r="B5" s="121" t="s">
        <v>209</v>
      </c>
      <c r="C5" s="121"/>
      <c r="D5" s="121"/>
      <c r="E5" s="121"/>
      <c r="F5" s="121">
        <f>'Data Sheet'!B16</f>
        <v>42825</v>
      </c>
      <c r="G5" s="121">
        <f>'Data Sheet'!C16</f>
        <v>43190</v>
      </c>
      <c r="H5" s="121">
        <f>'Data Sheet'!D16</f>
        <v>43555</v>
      </c>
      <c r="I5" s="121">
        <f>'Data Sheet'!E16</f>
        <v>43921</v>
      </c>
      <c r="J5" s="121">
        <f>'Data Sheet'!F16</f>
        <v>44286</v>
      </c>
      <c r="K5" s="121">
        <f>'Data Sheet'!G16</f>
        <v>44651</v>
      </c>
      <c r="L5" s="121">
        <f>'Data Sheet'!H16</f>
        <v>45016</v>
      </c>
      <c r="M5" s="121">
        <f>'Data Sheet'!I16</f>
        <v>45382</v>
      </c>
      <c r="N5" s="121">
        <f>'Data Sheet'!J16</f>
        <v>45747</v>
      </c>
      <c r="O5" s="121">
        <f>'Data Sheet'!K16</f>
        <v>46112</v>
      </c>
    </row>
    <row r="6" spans="1:15" x14ac:dyDescent="0.25">
      <c r="A6" s="113" t="s">
        <v>94</v>
      </c>
      <c r="B6" s="114" t="s">
        <v>300</v>
      </c>
      <c r="C6" s="113"/>
      <c r="D6" s="113"/>
      <c r="E6" s="113"/>
      <c r="F6" s="113"/>
      <c r="G6" s="113"/>
      <c r="H6" s="113"/>
      <c r="I6" s="113"/>
      <c r="J6" s="113"/>
      <c r="K6" s="113"/>
      <c r="L6" s="113"/>
      <c r="M6" s="113"/>
      <c r="N6" s="113"/>
      <c r="O6" s="113"/>
    </row>
    <row r="8" spans="1:15" x14ac:dyDescent="0.25">
      <c r="B8" s="101" t="str">
        <f>'Data Sheet'!A17</f>
        <v>Sales</v>
      </c>
      <c r="F8" s="59">
        <f>'Data Sheet'!B17/'Data Sheet'!B$17</f>
        <v>1</v>
      </c>
      <c r="G8" s="59">
        <f>'Data Sheet'!C17/'Data Sheet'!C$17</f>
        <v>1</v>
      </c>
      <c r="H8" s="59">
        <f>'Data Sheet'!D17/'Data Sheet'!D$17</f>
        <v>1</v>
      </c>
      <c r="I8" s="59">
        <f>'Data Sheet'!E17/'Data Sheet'!E$17</f>
        <v>1</v>
      </c>
      <c r="J8" s="59">
        <f>'Data Sheet'!F17/'Data Sheet'!F$17</f>
        <v>1</v>
      </c>
      <c r="K8" s="59">
        <f>'Data Sheet'!G17/'Data Sheet'!G$17</f>
        <v>1</v>
      </c>
      <c r="L8" s="59">
        <f>'Data Sheet'!H17/'Data Sheet'!H$17</f>
        <v>1</v>
      </c>
      <c r="M8" s="59">
        <f>'Data Sheet'!I17/'Data Sheet'!I$17</f>
        <v>1</v>
      </c>
      <c r="N8" s="59">
        <f>'Data Sheet'!J17/'Data Sheet'!J$17</f>
        <v>1</v>
      </c>
      <c r="O8" s="59">
        <f>'Data Sheet'!K17/'Data Sheet'!K$17</f>
        <v>1</v>
      </c>
    </row>
    <row r="9" spans="1:15" x14ac:dyDescent="0.25">
      <c r="B9" s="101" t="str">
        <f>'Data Sheet'!A18</f>
        <v>Raw Material Cost</v>
      </c>
      <c r="F9" s="59">
        <f>'Data Sheet'!B18/'Data Sheet'!B$17</f>
        <v>0.53501546651320053</v>
      </c>
      <c r="G9" s="59">
        <f>'Data Sheet'!C18/'Data Sheet'!C$17</f>
        <v>0.53912668733404701</v>
      </c>
      <c r="H9" s="59">
        <f>'Data Sheet'!D18/'Data Sheet'!D$17</f>
        <v>0.51672428236015899</v>
      </c>
      <c r="I9" s="59">
        <f>'Data Sheet'!E18/'Data Sheet'!E$17</f>
        <v>0.53187136895507736</v>
      </c>
      <c r="J9" s="59">
        <f>'Data Sheet'!F18/'Data Sheet'!F$17</f>
        <v>0.4115282005035133</v>
      </c>
      <c r="K9" s="59">
        <f>'Data Sheet'!G18/'Data Sheet'!G$17</f>
        <v>0.42953180616378928</v>
      </c>
      <c r="L9" s="59">
        <f>'Data Sheet'!H18/'Data Sheet'!H$17</f>
        <v>0.57827187274041936</v>
      </c>
      <c r="M9" s="59">
        <f>'Data Sheet'!I18/'Data Sheet'!I$17</f>
        <v>0.54143286515890887</v>
      </c>
      <c r="N9" s="59">
        <f>'Data Sheet'!J18/'Data Sheet'!J$17</f>
        <v>0.52817727337345399</v>
      </c>
      <c r="O9" s="59">
        <f>'Data Sheet'!K18/'Data Sheet'!K$17</f>
        <v>0.49534695638108589</v>
      </c>
    </row>
    <row r="10" spans="1:15" x14ac:dyDescent="0.25">
      <c r="B10" s="101" t="str">
        <f>'Data Sheet'!A19</f>
        <v>Change in Inventory</v>
      </c>
      <c r="F10" s="59">
        <f>'Data Sheet'!B19/'Data Sheet'!B$17</f>
        <v>2.6724696065031292E-2</v>
      </c>
      <c r="G10" s="59">
        <f>'Data Sheet'!C19/'Data Sheet'!C$17</f>
        <v>-3.3920453755578108E-3</v>
      </c>
      <c r="H10" s="59">
        <f>'Data Sheet'!D19/'Data Sheet'!D$17</f>
        <v>6.9610769611949458E-3</v>
      </c>
      <c r="I10" s="59">
        <f>'Data Sheet'!E19/'Data Sheet'!E$17</f>
        <v>3.6821864004582278E-3</v>
      </c>
      <c r="J10" s="59">
        <f>'Data Sheet'!F19/'Data Sheet'!F$17</f>
        <v>4.3587720287077743E-3</v>
      </c>
      <c r="K10" s="59">
        <f>'Data Sheet'!G19/'Data Sheet'!G$17</f>
        <v>2.4601867856337663E-2</v>
      </c>
      <c r="L10" s="59">
        <f>'Data Sheet'!H19/'Data Sheet'!H$17</f>
        <v>1.5883345384429984E-2</v>
      </c>
      <c r="M10" s="59">
        <f>'Data Sheet'!I19/'Data Sheet'!I$17</f>
        <v>1.763939522073529E-2</v>
      </c>
      <c r="N10" s="59">
        <f>'Data Sheet'!J19/'Data Sheet'!J$17</f>
        <v>-4.9104392740368669E-3</v>
      </c>
      <c r="O10" s="59">
        <f>'Data Sheet'!K19/'Data Sheet'!K$17</f>
        <v>-2.5443467946298592E-2</v>
      </c>
    </row>
    <row r="11" spans="1:15" x14ac:dyDescent="0.25">
      <c r="B11" s="101" t="str">
        <f>'Data Sheet'!A20</f>
        <v>Power and Fuel</v>
      </c>
      <c r="F11" s="59">
        <f>'Data Sheet'!B20/'Data Sheet'!B$17</f>
        <v>8.7817423206963521E-2</v>
      </c>
      <c r="G11" s="59">
        <f>'Data Sheet'!C20/'Data Sheet'!C$17</f>
        <v>7.919869878915102E-2</v>
      </c>
      <c r="H11" s="59">
        <f>'Data Sheet'!D20/'Data Sheet'!D$17</f>
        <v>8.321436577509822E-2</v>
      </c>
      <c r="I11" s="59">
        <f>'Data Sheet'!E20/'Data Sheet'!E$17</f>
        <v>8.5535826309903723E-2</v>
      </c>
      <c r="J11" s="59">
        <f>'Data Sheet'!F20/'Data Sheet'!F$17</f>
        <v>7.4963363769586289E-2</v>
      </c>
      <c r="K11" s="59">
        <f>'Data Sheet'!G20/'Data Sheet'!G$17</f>
        <v>7.7125933415772244E-2</v>
      </c>
      <c r="L11" s="59">
        <f>'Data Sheet'!H20/'Data Sheet'!H$17</f>
        <v>0.10515786936611232</v>
      </c>
      <c r="M11" s="59">
        <f>'Data Sheet'!I20/'Data Sheet'!I$17</f>
        <v>8.6437036444464765E-2</v>
      </c>
      <c r="N11" s="59">
        <f>'Data Sheet'!J20/'Data Sheet'!J$17</f>
        <v>9.5726910865753689E-2</v>
      </c>
      <c r="O11" s="59">
        <f>'Data Sheet'!K20/'Data Sheet'!K$17</f>
        <v>8.708686040869143E-2</v>
      </c>
    </row>
    <row r="12" spans="1:15" x14ac:dyDescent="0.25">
      <c r="B12" s="101" t="str">
        <f>'Data Sheet'!A21</f>
        <v>Other Mfr. Exp</v>
      </c>
      <c r="F12" s="59">
        <f>'Data Sheet'!B21/'Data Sheet'!B$17</f>
        <v>0.1238579958276383</v>
      </c>
      <c r="G12" s="59">
        <f>'Data Sheet'!C21/'Data Sheet'!C$17</f>
        <v>0.1211266039230951</v>
      </c>
      <c r="H12" s="59">
        <f>'Data Sheet'!D21/'Data Sheet'!D$17</f>
        <v>0.11984850808782756</v>
      </c>
      <c r="I12" s="59">
        <f>'Data Sheet'!E21/'Data Sheet'!E$17</f>
        <v>0.13969124185145787</v>
      </c>
      <c r="J12" s="59">
        <f>'Data Sheet'!F21/'Data Sheet'!F$17</f>
        <v>0.20349703778854947</v>
      </c>
      <c r="K12" s="59">
        <f>'Data Sheet'!G21/'Data Sheet'!G$17</f>
        <v>0.20308667700569102</v>
      </c>
      <c r="L12" s="59">
        <f>'Data Sheet'!H21/'Data Sheet'!H$17</f>
        <v>0.15801397927211377</v>
      </c>
      <c r="M12" s="59">
        <f>'Data Sheet'!I21/'Data Sheet'!I$17</f>
        <v>0.16979989257511172</v>
      </c>
      <c r="N12" s="59">
        <f>'Data Sheet'!J21/'Data Sheet'!J$17</f>
        <v>0.17148035824290386</v>
      </c>
      <c r="O12" s="59">
        <f>'Data Sheet'!K21/'Data Sheet'!K$17</f>
        <v>0</v>
      </c>
    </row>
    <row r="13" spans="1:15" x14ac:dyDescent="0.25">
      <c r="B13" s="101" t="str">
        <f>'Data Sheet'!A22</f>
        <v>Employee Cost</v>
      </c>
      <c r="F13" s="59">
        <f>'Data Sheet'!B22/'Data Sheet'!B$17</f>
        <v>3.0573340047478598E-2</v>
      </c>
      <c r="G13" s="59">
        <f>'Data Sheet'!C22/'Data Sheet'!C$17</f>
        <v>2.5621064045709203E-2</v>
      </c>
      <c r="H13" s="59">
        <f>'Data Sheet'!D22/'Data Sheet'!D$17</f>
        <v>2.9366306027820709E-2</v>
      </c>
      <c r="I13" s="59">
        <f>'Data Sheet'!E22/'Data Sheet'!E$17</f>
        <v>3.871750811444781E-2</v>
      </c>
      <c r="J13" s="59">
        <f>'Data Sheet'!F22/'Data Sheet'!F$17</f>
        <v>3.1388168689487593E-2</v>
      </c>
      <c r="K13" s="59">
        <f>'Data Sheet'!G22/'Data Sheet'!G$17</f>
        <v>2.3864016779280049E-2</v>
      </c>
      <c r="L13" s="59">
        <f>'Data Sheet'!H22/'Data Sheet'!H$17</f>
        <v>2.359002169197397E-2</v>
      </c>
      <c r="M13" s="59">
        <f>'Data Sheet'!I22/'Data Sheet'!I$17</f>
        <v>2.6233386283898839E-2</v>
      </c>
      <c r="N13" s="59">
        <f>'Data Sheet'!J22/'Data Sheet'!J$17</f>
        <v>2.8420129839359334E-2</v>
      </c>
      <c r="O13" s="59">
        <f>'Data Sheet'!K22/'Data Sheet'!K$17</f>
        <v>2.8495174421739364E-2</v>
      </c>
    </row>
    <row r="14" spans="1:15" x14ac:dyDescent="0.25">
      <c r="B14" s="101" t="str">
        <f>'Data Sheet'!A23</f>
        <v>Selling and admin</v>
      </c>
      <c r="F14" s="59">
        <f>'Data Sheet'!B23/'Data Sheet'!B$17</f>
        <v>5.8089346090209335E-3</v>
      </c>
      <c r="G14" s="59">
        <f>'Data Sheet'!C23/'Data Sheet'!C$17</f>
        <v>3.850805610776695E-3</v>
      </c>
      <c r="H14" s="59">
        <f>'Data Sheet'!D23/'Data Sheet'!D$17</f>
        <v>7.1026581875243341E-3</v>
      </c>
      <c r="I14" s="59">
        <f>'Data Sheet'!E23/'Data Sheet'!E$17</f>
        <v>6.1369773340970461E-3</v>
      </c>
      <c r="J14" s="59">
        <f>'Data Sheet'!F23/'Data Sheet'!F$17</f>
        <v>5.060183619534313E-3</v>
      </c>
      <c r="K14" s="59">
        <f>'Data Sheet'!G23/'Data Sheet'!G$17</f>
        <v>3.8053986103804716E-3</v>
      </c>
      <c r="L14" s="59">
        <f>'Data Sheet'!H23/'Data Sheet'!H$17</f>
        <v>6.134008194745722E-3</v>
      </c>
      <c r="M14" s="59">
        <f>'Data Sheet'!I23/'Data Sheet'!I$17</f>
        <v>5.1083962835559923E-3</v>
      </c>
      <c r="N14" s="59">
        <f>'Data Sheet'!J23/'Data Sheet'!J$17</f>
        <v>5.4020755342842246E-3</v>
      </c>
      <c r="O14" s="59">
        <f>'Data Sheet'!K23/'Data Sheet'!K$17</f>
        <v>0</v>
      </c>
    </row>
    <row r="15" spans="1:15" x14ac:dyDescent="0.25">
      <c r="B15" s="101" t="str">
        <f>'Data Sheet'!A24</f>
        <v>Other Expenses</v>
      </c>
      <c r="F15" s="59">
        <f>'Data Sheet'!B24/'Data Sheet'!B$17</f>
        <v>2.2300553916984388E-2</v>
      </c>
      <c r="G15" s="59">
        <f>'Data Sheet'!C24/'Data Sheet'!C$17</f>
        <v>2.032446860272754E-2</v>
      </c>
      <c r="H15" s="59">
        <f>'Data Sheet'!D24/'Data Sheet'!D$17</f>
        <v>2.7360571988154371E-2</v>
      </c>
      <c r="I15" s="59">
        <f>'Data Sheet'!E24/'Data Sheet'!E$17</f>
        <v>4.0626789951722447E-2</v>
      </c>
      <c r="J15" s="59">
        <f>'Data Sheet'!F24/'Data Sheet'!F$17</f>
        <v>2.5188191234860158E-2</v>
      </c>
      <c r="K15" s="59">
        <f>'Data Sheet'!G24/'Data Sheet'!G$17</f>
        <v>1.9962970807058774E-2</v>
      </c>
      <c r="L15" s="59">
        <f>'Data Sheet'!H24/'Data Sheet'!H$17</f>
        <v>3.3423716558206799E-2</v>
      </c>
      <c r="M15" s="59">
        <f>'Data Sheet'!I24/'Data Sheet'!I$17</f>
        <v>2.7736191901991933E-2</v>
      </c>
      <c r="N15" s="59">
        <f>'Data Sheet'!J24/'Data Sheet'!J$17</f>
        <v>3.1275174145856038E-2</v>
      </c>
      <c r="O15" s="59">
        <f>'Data Sheet'!K24/'Data Sheet'!K$17</f>
        <v>0.20540249096888985</v>
      </c>
    </row>
    <row r="16" spans="1:15" x14ac:dyDescent="0.25">
      <c r="B16" s="101" t="str">
        <f>'Data Sheet'!A25</f>
        <v>Other Income</v>
      </c>
      <c r="F16" s="59">
        <f>'Data Sheet'!B25/'Data Sheet'!B$17</f>
        <v>3.2371771814977338E-4</v>
      </c>
      <c r="G16" s="59">
        <f>'Data Sheet'!C25/'Data Sheet'!C$17</f>
        <v>-2.4606230798103791E-3</v>
      </c>
      <c r="H16" s="59">
        <f>'Data Sheet'!D25/'Data Sheet'!D$17</f>
        <v>2.3124933633800158E-3</v>
      </c>
      <c r="I16" s="59">
        <f>'Data Sheet'!E25/'Data Sheet'!E$17</f>
        <v>-3.9413032212312141E-3</v>
      </c>
      <c r="J16" s="59">
        <f>'Data Sheet'!F25/'Data Sheet'!F$17</f>
        <v>5.9244229010884403E-3</v>
      </c>
      <c r="K16" s="59">
        <f>'Data Sheet'!G25/'Data Sheet'!G$17</f>
        <v>1.0931127067520205E-2</v>
      </c>
      <c r="L16" s="59">
        <f>'Data Sheet'!H25/'Data Sheet'!H$17</f>
        <v>9.4058809351651E-3</v>
      </c>
      <c r="M16" s="59">
        <f>'Data Sheet'!I25/'Data Sheet'!I$17</f>
        <v>8.5711347039530081E-3</v>
      </c>
      <c r="N16" s="59">
        <f>'Data Sheet'!J25/'Data Sheet'!J$17</f>
        <v>4.3240297588020658E-4</v>
      </c>
      <c r="O16" s="59">
        <f>'Data Sheet'!K25/'Data Sheet'!K$17</f>
        <v>0.10032350245322694</v>
      </c>
    </row>
    <row r="17" spans="1:15" x14ac:dyDescent="0.25">
      <c r="B17" s="101" t="str">
        <f>'Data Sheet'!A26</f>
        <v>Depreciation</v>
      </c>
      <c r="F17" s="59">
        <f>'Data Sheet'!B26/'Data Sheet'!B$17</f>
        <v>6.1686209625206823E-2</v>
      </c>
      <c r="G17" s="59">
        <f>'Data Sheet'!C26/'Data Sheet'!C$17</f>
        <v>4.7085482323829121E-2</v>
      </c>
      <c r="H17" s="59">
        <f>'Data Sheet'!D26/'Data Sheet'!D$17</f>
        <v>4.7677477966421654E-2</v>
      </c>
      <c r="I17" s="59">
        <f>'Data Sheet'!E26/'Data Sheet'!E$17</f>
        <v>5.7905790579057904E-2</v>
      </c>
      <c r="J17" s="59">
        <f>'Data Sheet'!F26/'Data Sheet'!F$17</f>
        <v>5.8605443454953096E-2</v>
      </c>
      <c r="K17" s="59">
        <f>'Data Sheet'!G26/'Data Sheet'!G$17</f>
        <v>4.0998558457617969E-2</v>
      </c>
      <c r="L17" s="59">
        <f>'Data Sheet'!H26/'Data Sheet'!H$17</f>
        <v>4.5034948180284404E-2</v>
      </c>
      <c r="M17" s="59">
        <f>'Data Sheet'!I26/'Data Sheet'!I$17</f>
        <v>4.6695541867135981E-2</v>
      </c>
      <c r="N17" s="59">
        <f>'Data Sheet'!J26/'Data Sheet'!J$17</f>
        <v>5.5140264417381415E-2</v>
      </c>
      <c r="O17" s="59">
        <f>'Data Sheet'!K26/'Data Sheet'!K$17</f>
        <v>5.1765784223863701E-2</v>
      </c>
    </row>
    <row r="18" spans="1:15" x14ac:dyDescent="0.25">
      <c r="B18" s="101" t="str">
        <f>'Data Sheet'!A27</f>
        <v>Interest</v>
      </c>
      <c r="F18" s="59">
        <f>'Data Sheet'!B27/'Data Sheet'!B$17</f>
        <v>6.7764908999352558E-2</v>
      </c>
      <c r="G18" s="59">
        <f>'Data Sheet'!C27/'Data Sheet'!C$17</f>
        <v>5.1450655471063353E-2</v>
      </c>
      <c r="H18" s="59">
        <f>'Data Sheet'!D27/'Data Sheet'!D$17</f>
        <v>4.6214471961017967E-2</v>
      </c>
      <c r="I18" s="59">
        <f>'Data Sheet'!E27/'Data Sheet'!E$17</f>
        <v>5.8164907399830892E-2</v>
      </c>
      <c r="J18" s="59">
        <f>'Data Sheet'!F27/'Data Sheet'!F$17</f>
        <v>4.9562244016082363E-2</v>
      </c>
      <c r="K18" s="59">
        <f>'Data Sheet'!G27/'Data Sheet'!G$17</f>
        <v>3.3941149544650238E-2</v>
      </c>
      <c r="L18" s="59">
        <f>'Data Sheet'!H27/'Data Sheet'!H$17</f>
        <v>4.1588334538442996E-2</v>
      </c>
      <c r="M18" s="59">
        <f>'Data Sheet'!I27/'Data Sheet'!I$17</f>
        <v>4.6312697850359415E-2</v>
      </c>
      <c r="N18" s="59">
        <f>'Data Sheet'!J27/'Data Sheet'!J$17</f>
        <v>4.9827038809647915E-2</v>
      </c>
      <c r="O18" s="59">
        <f>'Data Sheet'!K27/'Data Sheet'!K$17</f>
        <v>4.9075322154526341E-2</v>
      </c>
    </row>
    <row r="19" spans="1:15" x14ac:dyDescent="0.25">
      <c r="B19" s="101" t="str">
        <f>'Data Sheet'!A28</f>
        <v>Profit before tax</v>
      </c>
      <c r="F19" s="59">
        <f>'Data Sheet'!B28/'Data Sheet'!B$17</f>
        <v>9.2223581037335439E-2</v>
      </c>
      <c r="G19" s="59">
        <f>'Data Sheet'!C28/'Data Sheet'!C$17</f>
        <v>0.10636286544423283</v>
      </c>
      <c r="H19" s="59">
        <f>'Data Sheet'!D28/'Data Sheet'!D$17</f>
        <v>0.13176492797055112</v>
      </c>
      <c r="I19" s="59">
        <f>'Data Sheet'!E28/'Data Sheet'!E$17</f>
        <v>4.1090472683632001E-2</v>
      </c>
      <c r="J19" s="59">
        <f>'Data Sheet'!F28/'Data Sheet'!F$17</f>
        <v>0.15049036185322962</v>
      </c>
      <c r="K19" s="59">
        <f>'Data Sheet'!G28/'Data Sheet'!G$17</f>
        <v>0.20321648413961782</v>
      </c>
      <c r="L19" s="59">
        <f>'Data Sheet'!H28/'Data Sheet'!H$17</f>
        <v>3.4074475777295735E-2</v>
      </c>
      <c r="M19" s="59">
        <f>'Data Sheet'!I28/'Data Sheet'!I$17</f>
        <v>7.645452155926083E-2</v>
      </c>
      <c r="N19" s="59">
        <f>'Data Sheet'!J28/'Data Sheet'!J$17</f>
        <v>3.007273847320286E-2</v>
      </c>
      <c r="O19" s="59">
        <f>'Data Sheet'!K28/'Data Sheet'!K$17</f>
        <v>0.15770744594813177</v>
      </c>
    </row>
    <row r="20" spans="1:15" x14ac:dyDescent="0.25">
      <c r="B20" s="101" t="str">
        <f>'Data Sheet'!A29</f>
        <v>Tax</v>
      </c>
      <c r="F20" s="59">
        <f>'Data Sheet'!B29/'Data Sheet'!B28</f>
        <v>0.32644305772230892</v>
      </c>
      <c r="G20" s="59">
        <f>'Data Sheet'!C29/'Data Sheet'!C28</f>
        <v>0.20101947457848648</v>
      </c>
      <c r="H20" s="59">
        <f>'Data Sheet'!D29/'Data Sheet'!D28</f>
        <v>0.32628939828080228</v>
      </c>
      <c r="I20" s="59">
        <f>'Data Sheet'!E29/'Data Sheet'!E28</f>
        <v>-0.30069697975439763</v>
      </c>
      <c r="J20" s="59">
        <f>'Data Sheet'!F29/'Data Sheet'!F28</f>
        <v>0.34473574698293802</v>
      </c>
      <c r="K20" s="59">
        <f>'Data Sheet'!G29/'Data Sheet'!G28</f>
        <v>0.29608337535720292</v>
      </c>
      <c r="L20" s="59">
        <f>'Data Sheet'!H29/'Data Sheet'!H28</f>
        <v>0.26808134394341293</v>
      </c>
      <c r="M20" s="59">
        <f>'Data Sheet'!I29/'Data Sheet'!I28</f>
        <v>0.32937219730941703</v>
      </c>
      <c r="N20" s="59">
        <f>'Data Sheet'!J29/'Data Sheet'!J28</f>
        <v>0.31238920622414812</v>
      </c>
      <c r="O20" s="59">
        <f>'Data Sheet'!K29/'Data Sheet'!K28</f>
        <v>0.12793162393162394</v>
      </c>
    </row>
    <row r="21" spans="1:15" x14ac:dyDescent="0.25">
      <c r="B21" s="160" t="str">
        <f>'Data Sheet'!A30</f>
        <v>Net profit</v>
      </c>
      <c r="C21" s="33"/>
      <c r="D21" s="33"/>
      <c r="E21" s="33"/>
      <c r="F21" s="122">
        <f>'Data Sheet'!B30/'Data Sheet'!B$17</f>
        <v>6.3358751168980654E-2</v>
      </c>
      <c r="G21" s="122">
        <f>'Data Sheet'!C30/'Data Sheet'!C$17</f>
        <v>8.6385942474246871E-2</v>
      </c>
      <c r="H21" s="122">
        <f>'Data Sheet'!D30/'Data Sheet'!D$17</f>
        <v>9.0128248994183369E-2</v>
      </c>
      <c r="I21" s="122">
        <f>'Data Sheet'!E30/'Data Sheet'!E$17</f>
        <v>5.4960041458691322E-2</v>
      </c>
      <c r="J21" s="122">
        <f>'Data Sheet'!F30/'Data Sheet'!F$17</f>
        <v>9.9086912411227593E-2</v>
      </c>
      <c r="K21" s="122">
        <f>'Data Sheet'!G30/'Data Sheet'!G$17</f>
        <v>0.14118233803144065</v>
      </c>
      <c r="L21" s="122">
        <f>'Data Sheet'!H30/'Data Sheet'!H$17</f>
        <v>2.4969872258375513E-2</v>
      </c>
      <c r="M21" s="122">
        <f>'Data Sheet'!I30/'Data Sheet'!I$17</f>
        <v>5.0352559340822597E-2</v>
      </c>
      <c r="N21" s="122">
        <f>'Data Sheet'!J30/'Data Sheet'!J$17</f>
        <v>2.0755342842249919E-2</v>
      </c>
      <c r="O21" s="122">
        <f>'Data Sheet'!K30/'Data Sheet'!K$17</f>
        <v>0.12032134577020542</v>
      </c>
    </row>
    <row r="22" spans="1:15" x14ac:dyDescent="0.25">
      <c r="B22" s="101"/>
      <c r="F22" s="59"/>
      <c r="G22" s="59"/>
      <c r="H22" s="59"/>
      <c r="I22" s="59"/>
      <c r="J22" s="59"/>
      <c r="K22" s="59"/>
      <c r="L22" s="59"/>
      <c r="M22" s="59"/>
      <c r="N22" s="59"/>
      <c r="O22" s="59"/>
    </row>
    <row r="23" spans="1:15" x14ac:dyDescent="0.25">
      <c r="B23" s="101">
        <f>'Data Sheet'!A32</f>
        <v>0</v>
      </c>
    </row>
    <row r="25" spans="1:15" x14ac:dyDescent="0.25">
      <c r="A25" s="114" t="s">
        <v>94</v>
      </c>
      <c r="B25" s="114" t="s">
        <v>304</v>
      </c>
      <c r="C25" s="114"/>
      <c r="D25" s="114"/>
      <c r="E25" s="114"/>
      <c r="F25" s="114"/>
      <c r="G25" s="114"/>
      <c r="H25" s="114"/>
      <c r="I25" s="114"/>
      <c r="J25" s="114"/>
      <c r="K25" s="114"/>
      <c r="L25" s="114"/>
      <c r="M25" s="114"/>
      <c r="N25" s="114"/>
      <c r="O25" s="114"/>
    </row>
    <row r="27" spans="1:15" x14ac:dyDescent="0.25">
      <c r="B27" s="101" t="str">
        <f>'Data Sheet'!A57</f>
        <v>Equity Share Capital</v>
      </c>
      <c r="F27" s="60">
        <f>'Data Sheet'!B57/'Data Sheet'!B$66</f>
        <v>3.4202602124879266E-3</v>
      </c>
      <c r="G27" s="60">
        <f>'Data Sheet'!C57/'Data Sheet'!C$66</f>
        <v>3.2836794606937044E-3</v>
      </c>
      <c r="H27" s="60">
        <f>'Data Sheet'!D57/'Data Sheet'!D$66</f>
        <v>2.6220197391917908E-3</v>
      </c>
      <c r="I27" s="60">
        <f>'Data Sheet'!E57/'Data Sheet'!E$66</f>
        <v>2.2834167804582006E-3</v>
      </c>
      <c r="J27" s="60">
        <f>'Data Sheet'!F57/'Data Sheet'!F$66</f>
        <v>2.0521462595897069E-3</v>
      </c>
      <c r="K27" s="60">
        <f>'Data Sheet'!G57/'Data Sheet'!G$66</f>
        <v>1.5319235565055857E-3</v>
      </c>
      <c r="L27" s="60">
        <f>'Data Sheet'!H57/'Data Sheet'!H$66</f>
        <v>1.4296638627522692E-3</v>
      </c>
      <c r="M27" s="60">
        <f>'Data Sheet'!I57/'Data Sheet'!I$66</f>
        <v>1.3383180194648484E-3</v>
      </c>
      <c r="N27" s="60">
        <f>'Data Sheet'!J57/'Data Sheet'!J$66</f>
        <v>1.2684813574830004E-3</v>
      </c>
      <c r="O27" s="60">
        <f>'Data Sheet'!K57/'Data Sheet'!K$66</f>
        <v>1.130986813806197E-3</v>
      </c>
    </row>
    <row r="28" spans="1:15" x14ac:dyDescent="0.25">
      <c r="B28" s="101" t="str">
        <f>'Data Sheet'!A58</f>
        <v>Reserves</v>
      </c>
      <c r="F28" s="60">
        <f>'Data Sheet'!B58/'Data Sheet'!B$66</f>
        <v>0.2539173910573263</v>
      </c>
      <c r="G28" s="60">
        <f>'Data Sheet'!C58/'Data Sheet'!C$66</f>
        <v>0.30114167663368491</v>
      </c>
      <c r="H28" s="60">
        <f>'Data Sheet'!D58/'Data Sheet'!D$66</f>
        <v>0.30047823549395891</v>
      </c>
      <c r="I28" s="60">
        <f>'Data Sheet'!E58/'Data Sheet'!E$66</f>
        <v>0.27536033985738129</v>
      </c>
      <c r="J28" s="60">
        <f>'Data Sheet'!F58/'Data Sheet'!F$66</f>
        <v>0.30787630042877623</v>
      </c>
      <c r="K28" s="60">
        <f>'Data Sheet'!G58/'Data Sheet'!G$66</f>
        <v>0.34097259332773494</v>
      </c>
      <c r="L28" s="60">
        <f>'Data Sheet'!H58/'Data Sheet'!H$66</f>
        <v>0.31060278618213255</v>
      </c>
      <c r="M28" s="60">
        <f>'Data Sheet'!I58/'Data Sheet'!I$66</f>
        <v>0.33946765658320827</v>
      </c>
      <c r="N28" s="60">
        <f>'Data Sheet'!J58/'Data Sheet'!J$66</f>
        <v>0.32935182682110253</v>
      </c>
      <c r="O28" s="60">
        <f>'Data Sheet'!K58/'Data Sheet'!K$66</f>
        <v>0.36988089410996899</v>
      </c>
    </row>
    <row r="29" spans="1:15" x14ac:dyDescent="0.25">
      <c r="B29" s="101" t="str">
        <f>'Data Sheet'!A59</f>
        <v>Borrowings</v>
      </c>
      <c r="F29" s="60">
        <f>'Data Sheet'!B59/'Data Sheet'!B$66</f>
        <v>0.49240384069086984</v>
      </c>
      <c r="G29" s="60">
        <f>'Data Sheet'!C59/'Data Sheet'!C$66</f>
        <v>0.42832445362618243</v>
      </c>
      <c r="H29" s="60">
        <f>'Data Sheet'!D59/'Data Sheet'!D$66</f>
        <v>0.41286793208881767</v>
      </c>
      <c r="I29" s="60">
        <f>'Data Sheet'!E59/'Data Sheet'!E$66</f>
        <v>0.46596115915642544</v>
      </c>
      <c r="J29" s="60">
        <f>'Data Sheet'!F59/'Data Sheet'!F$66</f>
        <v>0.45342239557497471</v>
      </c>
      <c r="K29" s="60">
        <f>'Data Sheet'!G59/'Data Sheet'!G$66</f>
        <v>0.36764638522024584</v>
      </c>
      <c r="L29" s="60">
        <f>'Data Sheet'!H59/'Data Sheet'!H$66</f>
        <v>0.38402861227611035</v>
      </c>
      <c r="M29" s="60">
        <f>'Data Sheet'!I59/'Data Sheet'!I$66</f>
        <v>0.38606745122818104</v>
      </c>
      <c r="N29" s="60">
        <f>'Data Sheet'!J59/'Data Sheet'!J$66</f>
        <v>0.41070515086610243</v>
      </c>
      <c r="O29" s="60">
        <f>'Data Sheet'!K59/'Data Sheet'!K$66</f>
        <v>0.36825672288227357</v>
      </c>
    </row>
    <row r="30" spans="1:15" x14ac:dyDescent="0.25">
      <c r="B30" s="101" t="str">
        <f>'Data Sheet'!A60</f>
        <v>Other Liabilities</v>
      </c>
      <c r="F30" s="60">
        <f>'Data Sheet'!B60/'Data Sheet'!B$66</f>
        <v>0.25025850803931593</v>
      </c>
      <c r="G30" s="60">
        <f>'Data Sheet'!C60/'Data Sheet'!C$66</f>
        <v>0.26725019027943897</v>
      </c>
      <c r="H30" s="60">
        <f>'Data Sheet'!D60/'Data Sheet'!D$66</f>
        <v>0.28403181267803168</v>
      </c>
      <c r="I30" s="60">
        <f>'Data Sheet'!E60/'Data Sheet'!E$66</f>
        <v>0.25639508420573509</v>
      </c>
      <c r="J30" s="60">
        <f>'Data Sheet'!F60/'Data Sheet'!F$66</f>
        <v>0.23664915773665934</v>
      </c>
      <c r="K30" s="60">
        <f>'Data Sheet'!G60/'Data Sheet'!G$66</f>
        <v>0.28984909789551366</v>
      </c>
      <c r="L30" s="60">
        <f>'Data Sheet'!H60/'Data Sheet'!H$66</f>
        <v>0.30393893767900482</v>
      </c>
      <c r="M30" s="60">
        <f>'Data Sheet'!I60/'Data Sheet'!I$66</f>
        <v>0.27312657416914582</v>
      </c>
      <c r="N30" s="60">
        <f>'Data Sheet'!J60/'Data Sheet'!J$66</f>
        <v>0.258674540955312</v>
      </c>
      <c r="O30" s="60">
        <f>'Data Sheet'!K60/'Data Sheet'!K$66</f>
        <v>0.26073139619395125</v>
      </c>
    </row>
    <row r="31" spans="1:15" x14ac:dyDescent="0.25">
      <c r="B31" s="143" t="s">
        <v>305</v>
      </c>
      <c r="C31" s="144"/>
      <c r="D31" s="144"/>
      <c r="E31" s="144"/>
      <c r="F31" s="145">
        <f>'Data Sheet'!B61/'Data Sheet'!B$66</f>
        <v>1</v>
      </c>
      <c r="G31" s="145">
        <f>'Data Sheet'!C61/'Data Sheet'!C$66</f>
        <v>1</v>
      </c>
      <c r="H31" s="145">
        <f>'Data Sheet'!D61/'Data Sheet'!D$66</f>
        <v>1</v>
      </c>
      <c r="I31" s="145">
        <f>'Data Sheet'!E61/'Data Sheet'!E$66</f>
        <v>1</v>
      </c>
      <c r="J31" s="145">
        <f>'Data Sheet'!F61/'Data Sheet'!F$66</f>
        <v>1</v>
      </c>
      <c r="K31" s="145">
        <f>'Data Sheet'!G61/'Data Sheet'!G$66</f>
        <v>1</v>
      </c>
      <c r="L31" s="145">
        <f>'Data Sheet'!H61/'Data Sheet'!H$66</f>
        <v>1</v>
      </c>
      <c r="M31" s="145">
        <f>'Data Sheet'!I61/'Data Sheet'!I$66</f>
        <v>1</v>
      </c>
      <c r="N31" s="145">
        <f>'Data Sheet'!J61/'Data Sheet'!J$66</f>
        <v>1</v>
      </c>
      <c r="O31" s="145">
        <f>'Data Sheet'!K61/'Data Sheet'!K$66</f>
        <v>1</v>
      </c>
    </row>
    <row r="32" spans="1:15" x14ac:dyDescent="0.25">
      <c r="B32" s="101" t="str">
        <f>'Data Sheet'!A62</f>
        <v>Net Block</v>
      </c>
      <c r="F32" s="60">
        <f>'Data Sheet'!B62/'Data Sheet'!B$66</f>
        <v>0.6673484461110164</v>
      </c>
      <c r="G32" s="60">
        <f>'Data Sheet'!C62/'Data Sheet'!C$66</f>
        <v>0.62898771338479942</v>
      </c>
      <c r="H32" s="60">
        <f>'Data Sheet'!D62/'Data Sheet'!D$66</f>
        <v>0.54569370279711138</v>
      </c>
      <c r="I32" s="60">
        <f>'Data Sheet'!E62/'Data Sheet'!E$66</f>
        <v>0.47098315885298137</v>
      </c>
      <c r="J32" s="60">
        <f>'Data Sheet'!F62/'Data Sheet'!F$66</f>
        <v>0.44112310839001651</v>
      </c>
      <c r="K32" s="60">
        <f>'Data Sheet'!G62/'Data Sheet'!G$66</f>
        <v>0.50833396951421228</v>
      </c>
      <c r="L32" s="60">
        <f>'Data Sheet'!H62/'Data Sheet'!H$66</f>
        <v>0.49611710894418609</v>
      </c>
      <c r="M32" s="60">
        <f>'Data Sheet'!I62/'Data Sheet'!I$66</f>
        <v>0.49347076323618461</v>
      </c>
      <c r="N32" s="60">
        <f>'Data Sheet'!J62/'Data Sheet'!J$66</f>
        <v>0.51764852669009542</v>
      </c>
      <c r="O32" s="60">
        <f>'Data Sheet'!K62/'Data Sheet'!K$66</f>
        <v>0.43590085880834778</v>
      </c>
    </row>
    <row r="33" spans="2:15" x14ac:dyDescent="0.25">
      <c r="B33" s="101" t="str">
        <f>'Data Sheet'!A63</f>
        <v>Capital Work in Progress</v>
      </c>
      <c r="F33" s="60">
        <f>'Data Sheet'!B63/'Data Sheet'!B$66</f>
        <v>4.9576728594966195E-2</v>
      </c>
      <c r="G33" s="60">
        <f>'Data Sheet'!C63/'Data Sheet'!C$66</f>
        <v>6.4695009242144177E-2</v>
      </c>
      <c r="H33" s="60">
        <f>'Data Sheet'!D63/'Data Sheet'!D$66</f>
        <v>0.10356542418355881</v>
      </c>
      <c r="I33" s="60">
        <f>'Data Sheet'!E63/'Data Sheet'!E$66</f>
        <v>0.20627370656956456</v>
      </c>
      <c r="J33" s="60">
        <f>'Data Sheet'!F63/'Data Sheet'!F$66</f>
        <v>0.22129203672118672</v>
      </c>
      <c r="K33" s="60">
        <f>'Data Sheet'!G63/'Data Sheet'!G$66</f>
        <v>8.6037102068860213E-2</v>
      </c>
      <c r="L33" s="60">
        <f>'Data Sheet'!H63/'Data Sheet'!H$66</f>
        <v>0.10528215675005581</v>
      </c>
      <c r="M33" s="60">
        <f>'Data Sheet'!I63/'Data Sheet'!I$66</f>
        <v>0.13021614932996339</v>
      </c>
      <c r="N33" s="60">
        <f>'Data Sheet'!J63/'Data Sheet'!J$66</f>
        <v>8.7367173366050446E-2</v>
      </c>
      <c r="O33" s="60">
        <f>'Data Sheet'!K63/'Data Sheet'!K$66</f>
        <v>8.1178896156869726E-2</v>
      </c>
    </row>
    <row r="34" spans="2:15" x14ac:dyDescent="0.25">
      <c r="B34" s="101" t="str">
        <f>'Data Sheet'!A64</f>
        <v>Investments</v>
      </c>
      <c r="F34" s="60">
        <f>'Data Sheet'!B64/'Data Sheet'!B$66</f>
        <v>1.5521845349696041E-2</v>
      </c>
      <c r="G34" s="60">
        <f>'Data Sheet'!C64/'Data Sheet'!C$66</f>
        <v>1.5972599760791562E-2</v>
      </c>
      <c r="H34" s="60">
        <f>'Data Sheet'!D64/'Data Sheet'!D$66</f>
        <v>1.6498688990130406E-2</v>
      </c>
      <c r="I34" s="60">
        <f>'Data Sheet'!E64/'Data Sheet'!E$66</f>
        <v>9.5509027461690189E-3</v>
      </c>
      <c r="J34" s="60">
        <f>'Data Sheet'!F64/'Data Sheet'!F$66</f>
        <v>5.0467848576068716E-2</v>
      </c>
      <c r="K34" s="60">
        <f>'Data Sheet'!G64/'Data Sheet'!G$66</f>
        <v>2.5141868336005294E-2</v>
      </c>
      <c r="L34" s="60">
        <f>'Data Sheet'!H64/'Data Sheet'!H$66</f>
        <v>2.2827124665738888E-2</v>
      </c>
      <c r="M34" s="60">
        <f>'Data Sheet'!I64/'Data Sheet'!I$66</f>
        <v>3.1794925800138658E-2</v>
      </c>
      <c r="N34" s="60">
        <f>'Data Sheet'!J64/'Data Sheet'!J$66</f>
        <v>6.3286822350225619E-2</v>
      </c>
      <c r="O34" s="60">
        <f>'Data Sheet'!K64/'Data Sheet'!K$66</f>
        <v>3.7889912339251548E-2</v>
      </c>
    </row>
    <row r="35" spans="2:15" x14ac:dyDescent="0.25">
      <c r="B35" s="101" t="str">
        <f>'Data Sheet'!A65</f>
        <v>Other Assets</v>
      </c>
      <c r="F35" s="60">
        <f>'Data Sheet'!B65/'Data Sheet'!B$66</f>
        <v>0.26755297994432137</v>
      </c>
      <c r="G35" s="60">
        <f>'Data Sheet'!C65/'Data Sheet'!C$66</f>
        <v>0.29034467761226485</v>
      </c>
      <c r="H35" s="60">
        <f>'Data Sheet'!D65/'Data Sheet'!D$66</f>
        <v>0.33424218402919936</v>
      </c>
      <c r="I35" s="60">
        <f>'Data Sheet'!E65/'Data Sheet'!E$66</f>
        <v>0.31319223183128508</v>
      </c>
      <c r="J35" s="60">
        <f>'Data Sheet'!F65/'Data Sheet'!F$66</f>
        <v>0.28711700631272807</v>
      </c>
      <c r="K35" s="60">
        <f>'Data Sheet'!G65/'Data Sheet'!G$66</f>
        <v>0.3804870600809222</v>
      </c>
      <c r="L35" s="60">
        <f>'Data Sheet'!H65/'Data Sheet'!H$66</f>
        <v>0.37577360964001921</v>
      </c>
      <c r="M35" s="60">
        <f>'Data Sheet'!I65/'Data Sheet'!I$66</f>
        <v>0.34451816163371335</v>
      </c>
      <c r="N35" s="60">
        <f>'Data Sheet'!J65/'Data Sheet'!J$66</f>
        <v>0.3316974775936285</v>
      </c>
      <c r="O35" s="60">
        <f>'Data Sheet'!K65/'Data Sheet'!K$66</f>
        <v>0.44503033269553094</v>
      </c>
    </row>
    <row r="36" spans="2:15" x14ac:dyDescent="0.25">
      <c r="B36" s="143" t="s">
        <v>306</v>
      </c>
      <c r="C36" s="144"/>
      <c r="D36" s="144"/>
      <c r="E36" s="144"/>
      <c r="F36" s="145">
        <f>'Data Sheet'!B66/'Data Sheet'!B$66</f>
        <v>1</v>
      </c>
      <c r="G36" s="145">
        <f>'Data Sheet'!C66/'Data Sheet'!C$66</f>
        <v>1</v>
      </c>
      <c r="H36" s="145">
        <f>'Data Sheet'!D66/'Data Sheet'!D$66</f>
        <v>1</v>
      </c>
      <c r="I36" s="145">
        <f>'Data Sheet'!E66/'Data Sheet'!E$66</f>
        <v>1</v>
      </c>
      <c r="J36" s="145">
        <f>'Data Sheet'!F66/'Data Sheet'!F$66</f>
        <v>1</v>
      </c>
      <c r="K36" s="145">
        <f>'Data Sheet'!G66/'Data Sheet'!G$66</f>
        <v>1</v>
      </c>
      <c r="L36" s="145">
        <f>'Data Sheet'!H66/'Data Sheet'!H$66</f>
        <v>1</v>
      </c>
      <c r="M36" s="145">
        <f>'Data Sheet'!I66/'Data Sheet'!I$66</f>
        <v>1</v>
      </c>
      <c r="N36" s="145">
        <f>'Data Sheet'!J66/'Data Sheet'!J$66</f>
        <v>1</v>
      </c>
      <c r="O36" s="145">
        <f>'Data Sheet'!K66/'Data Sheet'!K$66</f>
        <v>1</v>
      </c>
    </row>
    <row r="37" spans="2:15" x14ac:dyDescent="0.25">
      <c r="B37" s="101" t="str">
        <f>'Data Sheet'!A67</f>
        <v>Receivables</v>
      </c>
      <c r="F37" s="60">
        <f>'Data Sheet'!B67/'Data Sheet'!B$66</f>
        <v>4.7145048576785413E-2</v>
      </c>
      <c r="G37" s="60">
        <f>'Data Sheet'!C67/'Data Sheet'!C$66</f>
        <v>5.1147113189083396E-2</v>
      </c>
      <c r="H37" s="60">
        <f>'Data Sheet'!D67/'Data Sheet'!D$66</f>
        <v>6.237096788243595E-2</v>
      </c>
      <c r="I37" s="60">
        <f>'Data Sheet'!E67/'Data Sheet'!E$66</f>
        <v>3.4175390684266421E-2</v>
      </c>
      <c r="J37" s="60">
        <f>'Data Sheet'!F67/'Data Sheet'!F$66</f>
        <v>3.0483205697084185E-2</v>
      </c>
      <c r="K37" s="60">
        <f>'Data Sheet'!G67/'Data Sheet'!G$66</f>
        <v>3.7952006514492202E-2</v>
      </c>
      <c r="L37" s="60">
        <f>'Data Sheet'!H67/'Data Sheet'!H$66</f>
        <v>3.3884458461377699E-2</v>
      </c>
      <c r="M37" s="60">
        <f>'Data Sheet'!I67/'Data Sheet'!I$66</f>
        <v>3.3120080035805494E-2</v>
      </c>
      <c r="N37" s="60">
        <f>'Data Sheet'!J67/'Data Sheet'!J$66</f>
        <v>3.4997608600719501E-2</v>
      </c>
      <c r="O37" s="60">
        <f>'Data Sheet'!K67/'Data Sheet'!K$66</f>
        <v>4.1753808273632065E-2</v>
      </c>
    </row>
    <row r="38" spans="2:15" x14ac:dyDescent="0.25">
      <c r="B38" s="101" t="str">
        <f>'Data Sheet'!A68</f>
        <v>Inventory</v>
      </c>
      <c r="F38" s="60">
        <f>'Data Sheet'!B68/'Data Sheet'!B$66</f>
        <v>0.12948127947275723</v>
      </c>
      <c r="G38" s="60">
        <f>'Data Sheet'!C68/'Data Sheet'!C$66</f>
        <v>0.13693595737740569</v>
      </c>
      <c r="H38" s="60">
        <f>'Data Sheet'!D68/'Data Sheet'!D$66</f>
        <v>0.12672805038459192</v>
      </c>
      <c r="I38" s="60">
        <f>'Data Sheet'!E68/'Data Sheet'!E$66</f>
        <v>0.10448338643604915</v>
      </c>
      <c r="J38" s="60">
        <f>'Data Sheet'!F68/'Data Sheet'!F$66</f>
        <v>9.6824609446667986E-2</v>
      </c>
      <c r="K38" s="60">
        <f>'Data Sheet'!G68/'Data Sheet'!G$66</f>
        <v>0.17195714685599409</v>
      </c>
      <c r="L38" s="60">
        <f>'Data Sheet'!H68/'Data Sheet'!H$66</f>
        <v>0.15738176774849316</v>
      </c>
      <c r="M38" s="60">
        <f>'Data Sheet'!I68/'Data Sheet'!I$66</f>
        <v>0.16592949477397784</v>
      </c>
      <c r="N38" s="60">
        <f>'Data Sheet'!J68/'Data Sheet'!J$66</f>
        <v>0.14538044043336315</v>
      </c>
      <c r="O38" s="60">
        <f>'Data Sheet'!K68/'Data Sheet'!K$66</f>
        <v>0.12149764903068867</v>
      </c>
    </row>
    <row r="39" spans="2:15" x14ac:dyDescent="0.25">
      <c r="B39" s="101" t="str">
        <f>'Data Sheet'!A69</f>
        <v>Cash &amp; Bank</v>
      </c>
      <c r="F39" s="60">
        <f>'Data Sheet'!B69/'Data Sheet'!B$66</f>
        <v>1.6874041247656384E-2</v>
      </c>
      <c r="G39" s="60">
        <f>'Data Sheet'!C69/'Data Sheet'!C$66</f>
        <v>1.155811677720996E-2</v>
      </c>
      <c r="H39" s="60">
        <f>'Data Sheet'!D69/'Data Sheet'!D$66</f>
        <v>5.3895136632490397E-2</v>
      </c>
      <c r="I39" s="60">
        <f>'Data Sheet'!E69/'Data Sheet'!E$66</f>
        <v>9.1055985434683656E-2</v>
      </c>
      <c r="J39" s="60">
        <f>'Data Sheet'!F69/'Data Sheet'!F$66</f>
        <v>8.7066721934181829E-2</v>
      </c>
      <c r="K39" s="60">
        <f>'Data Sheet'!G69/'Data Sheet'!G$66</f>
        <v>8.8469857749955472E-2</v>
      </c>
      <c r="L39" s="60">
        <f>'Data Sheet'!H69/'Data Sheet'!H$66</f>
        <v>9.8385572269270777E-2</v>
      </c>
      <c r="M39" s="60">
        <f>'Data Sheet'!I69/'Data Sheet'!I$66</f>
        <v>5.4182134112629336E-2</v>
      </c>
      <c r="N39" s="60">
        <f>'Data Sheet'!J69/'Data Sheet'!J$66</f>
        <v>5.5251720767743144E-2</v>
      </c>
      <c r="O39" s="60">
        <f>'Data Sheet'!K69/'Data Sheet'!K$66</f>
        <v>0.15199350331508921</v>
      </c>
    </row>
    <row r="40" spans="2:15" x14ac:dyDescent="0.25">
      <c r="B40" s="101"/>
    </row>
    <row r="41" spans="2:15" x14ac:dyDescent="0.25">
      <c r="B41" s="101"/>
    </row>
    <row r="42" spans="2:15" x14ac:dyDescent="0.25">
      <c r="B42" s="101"/>
    </row>
    <row r="43" spans="2:15" x14ac:dyDescent="0.25">
      <c r="B43" s="101"/>
    </row>
    <row r="44" spans="2:15" x14ac:dyDescent="0.25">
      <c r="B44" s="101"/>
    </row>
    <row r="45" spans="2:15" x14ac:dyDescent="0.25">
      <c r="B45" s="10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582B5-68CD-421E-9434-CF66BA4E6E0A}">
  <dimension ref="A1:P46"/>
  <sheetViews>
    <sheetView showGridLines="0" workbookViewId="0">
      <pane ySplit="5" topLeftCell="A6" activePane="bottomLeft" state="frozen"/>
      <selection pane="bottomLeft" activeCell="C35" sqref="C35"/>
    </sheetView>
  </sheetViews>
  <sheetFormatPr defaultRowHeight="15" x14ac:dyDescent="0.25"/>
  <cols>
    <col min="1" max="1" width="1.85546875" customWidth="1"/>
    <col min="2" max="2" width="32.5703125" customWidth="1"/>
    <col min="3" max="4" width="12.28515625" bestFit="1" customWidth="1"/>
    <col min="8" max="8" width="10.42578125" customWidth="1"/>
    <col min="10" max="10" width="10.5703125" customWidth="1"/>
    <col min="14" max="14" width="16.42578125" customWidth="1"/>
    <col min="15" max="15" width="10.7109375" customWidth="1"/>
  </cols>
  <sheetData>
    <row r="1" spans="1:16" ht="7.5" customHeight="1" x14ac:dyDescent="0.25"/>
    <row r="2" spans="1:16" ht="26.25" customHeight="1" x14ac:dyDescent="0.35">
      <c r="B2" s="126" t="s">
        <v>275</v>
      </c>
      <c r="C2" s="126"/>
      <c r="D2" s="126"/>
      <c r="E2" s="126"/>
    </row>
    <row r="4" spans="1:16" x14ac:dyDescent="0.25">
      <c r="A4" s="53"/>
      <c r="B4" s="53"/>
      <c r="C4" s="53"/>
      <c r="D4" s="53"/>
      <c r="E4" s="53"/>
      <c r="F4" s="53"/>
      <c r="G4" s="53"/>
      <c r="H4" s="53"/>
      <c r="I4" s="53"/>
      <c r="J4" s="53"/>
      <c r="K4" s="53"/>
      <c r="L4" s="53"/>
      <c r="M4" s="53"/>
    </row>
    <row r="5" spans="1:16" x14ac:dyDescent="0.25">
      <c r="A5" s="53"/>
      <c r="B5" s="116" t="s">
        <v>209</v>
      </c>
      <c r="C5" s="117">
        <f>'Data Sheet'!B16</f>
        <v>42825</v>
      </c>
      <c r="D5" s="117">
        <f>'Data Sheet'!C16</f>
        <v>43190</v>
      </c>
      <c r="E5" s="117">
        <f>'Data Sheet'!D16</f>
        <v>43555</v>
      </c>
      <c r="F5" s="117">
        <f>'Data Sheet'!E16</f>
        <v>43921</v>
      </c>
      <c r="G5" s="117">
        <f>'Data Sheet'!F16</f>
        <v>44286</v>
      </c>
      <c r="H5" s="117">
        <f>'Data Sheet'!G16</f>
        <v>44651</v>
      </c>
      <c r="I5" s="117">
        <f>'Data Sheet'!H16</f>
        <v>45016</v>
      </c>
      <c r="J5" s="117">
        <f>'Data Sheet'!I16</f>
        <v>45382</v>
      </c>
      <c r="K5" s="117">
        <f>'Data Sheet'!J16</f>
        <v>45747</v>
      </c>
      <c r="L5" s="117">
        <f>'Data Sheet'!K16</f>
        <v>46112</v>
      </c>
      <c r="M5" s="118" t="s">
        <v>93</v>
      </c>
      <c r="N5" s="119" t="s">
        <v>274</v>
      </c>
      <c r="O5" s="117" t="s">
        <v>151</v>
      </c>
      <c r="P5" s="117" t="s">
        <v>152</v>
      </c>
    </row>
    <row r="6" spans="1:16" x14ac:dyDescent="0.25">
      <c r="A6" s="53"/>
      <c r="B6" s="53"/>
      <c r="C6" s="53"/>
      <c r="D6" s="53"/>
      <c r="E6" s="53"/>
      <c r="F6" s="53"/>
      <c r="G6" s="53"/>
      <c r="H6" s="53"/>
      <c r="I6" s="53"/>
      <c r="J6" s="53"/>
      <c r="K6" s="53"/>
      <c r="L6" s="53"/>
      <c r="M6" s="53"/>
    </row>
    <row r="7" spans="1:16" x14ac:dyDescent="0.25">
      <c r="A7" s="53"/>
      <c r="B7" s="54" t="s">
        <v>122</v>
      </c>
      <c r="C7" s="53"/>
      <c r="D7" s="55">
        <f>IFERROR(Historical!D7/Historical!C7-1,0)</f>
        <v>0.29366592331486951</v>
      </c>
      <c r="E7" s="55">
        <f>IFERROR(Historical!E7/Historical!D7-1,0)</f>
        <v>0.17827700777112043</v>
      </c>
      <c r="F7" s="55">
        <f>IFERROR(Historical!F7/Historical!E7-1,0)</f>
        <v>-0.13486791651427021</v>
      </c>
      <c r="G7" s="55">
        <f>IFERROR(Historical!G7/Historical!F7-1,0)</f>
        <v>8.8822518615497836E-2</v>
      </c>
      <c r="H7" s="55">
        <f>IFERROR(Historical!H7/Historical!G7-1,0)</f>
        <v>0.83332707072984391</v>
      </c>
      <c r="I7" s="55">
        <f>IFERROR(Historical!I7/Historical!H7-1,0)</f>
        <v>0.13383115507853338</v>
      </c>
      <c r="J7" s="55">
        <f>IFERROR(Historical!J7/Historical!I7-1,0)</f>
        <v>5.4507110147023363E-2</v>
      </c>
      <c r="K7" s="55">
        <f>IFERROR(Historical!K7/Historical!J7-1,0)</f>
        <v>-3.5324503159891663E-2</v>
      </c>
      <c r="L7" s="55">
        <f>IFERROR(Historical!L7/Historical!K7-1,0)</f>
        <v>9.8599725157560547E-2</v>
      </c>
      <c r="M7" s="53"/>
      <c r="O7" s="59">
        <f>AVERAGE(D7:L7)</f>
        <v>0.16787089901558744</v>
      </c>
      <c r="P7" s="59">
        <f t="shared" ref="P7:P45" si="0">MEDIAN(C7:L7)</f>
        <v>9.8599725157560547E-2</v>
      </c>
    </row>
    <row r="8" spans="1:16" x14ac:dyDescent="0.25">
      <c r="A8" s="53"/>
      <c r="B8" s="54" t="s">
        <v>123</v>
      </c>
      <c r="C8" s="53"/>
      <c r="D8" s="55">
        <f>IFERROR(Historical!D19/Historical!C19-1,0)</f>
        <v>0.21189470263243426</v>
      </c>
      <c r="E8" s="55">
        <f>IFERROR(Historical!E19/Historical!D19-1,0)</f>
        <v>0.26910699919549486</v>
      </c>
      <c r="F8" s="55">
        <f>IFERROR(Historical!F19/Historical!E19-1,0)</f>
        <v>-0.37596407818277866</v>
      </c>
      <c r="G8" s="55">
        <f>IFERROR(Historical!G19/Historical!F19-1,0)</f>
        <v>0.70811817489206796</v>
      </c>
      <c r="H8" s="55">
        <f>IFERROR(Historical!H19/Historical!G19-1,0)</f>
        <v>0.93844781445138259</v>
      </c>
      <c r="I8" s="55">
        <f>IFERROR(Historical!I19/Historical!H19-1,0)</f>
        <v>-0.52779056092447718</v>
      </c>
      <c r="J8" s="55">
        <f>IFERROR(Historical!J19/Historical!I19-1,0)</f>
        <v>0.5244721169463995</v>
      </c>
      <c r="K8" s="55">
        <f>IFERROR(Historical!K19/Historical!J19-1,0)</f>
        <v>-0.19291827964626918</v>
      </c>
      <c r="L8" s="55">
        <f>IFERROR(Historical!L19/Historical!K19-1,0)</f>
        <v>0.29135313531353146</v>
      </c>
      <c r="M8" s="53"/>
      <c r="O8" s="59">
        <f t="shared" ref="O8:O11" si="1">AVERAGE(D8:L8)</f>
        <v>0.2051911138530873</v>
      </c>
      <c r="P8" s="59">
        <f t="shared" si="0"/>
        <v>0.26910699919549486</v>
      </c>
    </row>
    <row r="9" spans="1:16" x14ac:dyDescent="0.25">
      <c r="A9" s="53"/>
      <c r="B9" s="54" t="s">
        <v>124</v>
      </c>
      <c r="C9" s="53"/>
      <c r="D9" s="55">
        <f>IFERROR((Historical!D19-Historical!D25)/(Historical!C19-Historical!C25),0)</f>
        <v>1.2986032890290606</v>
      </c>
      <c r="E9" s="55">
        <f>IFERROR((Historical!E19-Historical!E25)/(Historical!D19-Historical!D25),0)</f>
        <v>1.2914389799635702</v>
      </c>
      <c r="F9" s="55">
        <f>IFERROR((Historical!F19-Historical!F25)/(Historical!E19-Historical!E25),0)</f>
        <v>0.50822755054066759</v>
      </c>
      <c r="G9" s="55">
        <f>IFERROR((Historical!G19-Historical!G25)/(Historical!F19-Historical!F25),0)</f>
        <v>2.0482357605391832</v>
      </c>
      <c r="H9" s="55">
        <f>IFERROR((Historical!H19-Historical!H25)/(Historical!G19-Historical!G25),0)</f>
        <v>2.1364604168010839</v>
      </c>
      <c r="I9" s="55">
        <f>IFERROR((Historical!I19-Historical!I25)/(Historical!H19-Historical!H25),0)</f>
        <v>0.3320750158548002</v>
      </c>
      <c r="J9" s="55">
        <f>IFERROR((Historical!J19-Historical!J25)/(Historical!I19-Historical!I25),0)</f>
        <v>1.8174790833030192</v>
      </c>
      <c r="K9" s="55">
        <f>IFERROR((Historical!K19-Historical!K25)/(Historical!J19-Historical!J25),0)</f>
        <v>0.67130347760820619</v>
      </c>
      <c r="L9" s="55">
        <f>IFERROR((Historical!L19-Historical!L25)/(Historical!K19-Historical!K25),0)</f>
        <v>1.4717501490757305</v>
      </c>
      <c r="M9" s="53"/>
      <c r="O9" s="59">
        <f t="shared" si="1"/>
        <v>1.2861748580794803</v>
      </c>
      <c r="P9" s="59">
        <f t="shared" si="0"/>
        <v>1.2986032890290606</v>
      </c>
    </row>
    <row r="10" spans="1:16" x14ac:dyDescent="0.25">
      <c r="A10" s="53"/>
      <c r="B10" s="54" t="s">
        <v>125</v>
      </c>
      <c r="C10" s="53"/>
      <c r="D10" s="55">
        <f>IFERROR(Historical!D34/Historical!C34-1,0)</f>
        <v>0.83061699650756693</v>
      </c>
      <c r="E10" s="55">
        <f>IFERROR(Historical!E34/Historical!D34-1,0)</f>
        <v>0.16502384737678866</v>
      </c>
      <c r="F10" s="55">
        <f>IFERROR(Historical!F34/Historical!E34-1,0)</f>
        <v>-0.42576419213973804</v>
      </c>
      <c r="G10" s="55">
        <f>IFERROR(Historical!G34/Historical!F34-1,0)</f>
        <v>0.7585551330798479</v>
      </c>
      <c r="H10" s="55">
        <f>IFERROR(Historical!H34/Historical!G34-1,0)</f>
        <v>1.6132432432432431</v>
      </c>
      <c r="I10" s="55">
        <f>IFERROR(Historical!I34/Historical!H34-1,0)</f>
        <v>-0.86668735132898955</v>
      </c>
      <c r="J10" s="55">
        <f>IFERROR(Historical!J34/Historical!I34-1,0)</f>
        <v>1.8987587276958884</v>
      </c>
      <c r="K10" s="55">
        <f>IFERROR(Historical!K34/Historical!J34-1,0)</f>
        <v>-0.54262009902315</v>
      </c>
      <c r="L10" s="55">
        <f>IFERROR(Historical!L34/Historical!K34-1,0)</f>
        <v>1.019016968987712</v>
      </c>
      <c r="M10" s="53"/>
      <c r="O10" s="59">
        <f t="shared" si="1"/>
        <v>0.49446036382212988</v>
      </c>
      <c r="P10" s="59">
        <f t="shared" si="0"/>
        <v>0.7585551330798479</v>
      </c>
    </row>
    <row r="11" spans="1:16" x14ac:dyDescent="0.25">
      <c r="A11" s="53"/>
      <c r="B11" s="54" t="s">
        <v>126</v>
      </c>
      <c r="C11" s="53"/>
      <c r="D11" s="55">
        <f>IFERROR(Historical!D22/Historical!C22-1,0)</f>
        <v>-1.7781316348195353E-2</v>
      </c>
      <c r="E11" s="55">
        <f>IFERROR(Historical!E22/Historical!D22-1,0)</f>
        <v>5.8362604701432064E-2</v>
      </c>
      <c r="F11" s="55">
        <f>IFERROR(Historical!F22/Historical!E22-1,0)</f>
        <v>8.884350268062291E-2</v>
      </c>
      <c r="G11" s="55">
        <f>IFERROR(Historical!G22/Historical!F22-1,0)</f>
        <v>-7.2215709261430283E-2</v>
      </c>
      <c r="H11" s="55">
        <f>IFERROR(Historical!H22/Historical!G22-1,0)</f>
        <v>0.25549658832448818</v>
      </c>
      <c r="I11" s="55">
        <f>IFERROR(Historical!I22/Historical!H22-1,0)</f>
        <v>0.38929146537842185</v>
      </c>
      <c r="J11" s="55">
        <f>IFERROR(Historical!J22/Historical!I22-1,0)</f>
        <v>0.17429730512894803</v>
      </c>
      <c r="K11" s="55">
        <f>IFERROR(Historical!K22/Historical!J22-1,0)</f>
        <v>3.7877853177051168E-2</v>
      </c>
      <c r="L11" s="55">
        <f>IFERROR(Historical!L22/Historical!K22-1,0)</f>
        <v>8.2025677603423608E-2</v>
      </c>
      <c r="M11" s="53"/>
      <c r="O11" s="59">
        <f t="shared" si="1"/>
        <v>0.1106886634871958</v>
      </c>
      <c r="P11" s="59">
        <f t="shared" si="0"/>
        <v>8.2025677603423608E-2</v>
      </c>
    </row>
    <row r="12" spans="1:16" x14ac:dyDescent="0.25">
      <c r="A12" s="53"/>
      <c r="M12" s="53"/>
      <c r="P12" s="59"/>
    </row>
    <row r="13" spans="1:16" x14ac:dyDescent="0.25">
      <c r="A13" s="53"/>
      <c r="B13" s="53"/>
      <c r="C13" s="53"/>
      <c r="D13" s="53"/>
      <c r="E13" s="53"/>
      <c r="F13" s="53"/>
      <c r="G13" s="53"/>
      <c r="H13" s="53"/>
      <c r="I13" s="53"/>
      <c r="J13" s="53"/>
      <c r="K13" s="53"/>
      <c r="L13" s="53"/>
      <c r="M13" s="53"/>
      <c r="P13" s="59"/>
    </row>
    <row r="14" spans="1:16" x14ac:dyDescent="0.25">
      <c r="A14" s="53"/>
      <c r="B14" s="54" t="s">
        <v>127</v>
      </c>
      <c r="C14" s="55">
        <f>IFERROR(Historical!C14,0)</f>
        <v>0.24946047046975037</v>
      </c>
      <c r="D14" s="55">
        <f>IFERROR(Historical!D14,0)</f>
        <v>0.23153490053243991</v>
      </c>
      <c r="E14" s="55">
        <f>IFERROR(Historical!E14,0)</f>
        <v>0.2578076147102894</v>
      </c>
      <c r="F14" s="55">
        <f>IFERROR(Historical!F14,0)</f>
        <v>0.2078662411695715</v>
      </c>
      <c r="G14" s="55">
        <f>IFERROR(Historical!G14,0)</f>
        <v>0.28298200127757112</v>
      </c>
      <c r="H14" s="55">
        <f>IFERROR(Historical!H14,0)</f>
        <v>0.29099343449180509</v>
      </c>
      <c r="I14" s="55">
        <f>IFERROR(Historical!I14,0)</f>
        <v>0.15084960231381056</v>
      </c>
      <c r="J14" s="55">
        <f>IFERROR(Historical!J14,0)</f>
        <v>0.19373621475835115</v>
      </c>
      <c r="K14" s="55">
        <f>IFERROR(Historical!K14,0)</f>
        <v>0.17128488840449224</v>
      </c>
      <c r="L14" s="55">
        <f>IFERROR(Historical!L14,0)</f>
        <v>0.36362754084218474</v>
      </c>
      <c r="M14" s="53"/>
      <c r="O14" s="59">
        <f>AVERAGE(C14:L14)</f>
        <v>0.24001429089702658</v>
      </c>
      <c r="P14" s="59">
        <f t="shared" si="0"/>
        <v>0.24049768550109513</v>
      </c>
    </row>
    <row r="15" spans="1:16" x14ac:dyDescent="0.25">
      <c r="A15" s="53"/>
      <c r="B15" s="54" t="s">
        <v>128</v>
      </c>
      <c r="C15" s="55">
        <f>IFERROR((Historical!C19-Historical!C25)/Historical!C7,0)</f>
        <v>0.15966477231853823</v>
      </c>
      <c r="D15" s="55">
        <f>IFERROR((Historical!D19-Historical!D25)/Historical!D7,0)</f>
        <v>0.16027414399510656</v>
      </c>
      <c r="E15" s="55">
        <f>IFERROR((Historical!E19-Historical!E25)/Historical!E7,0)</f>
        <v>0.17566690656818906</v>
      </c>
      <c r="F15" s="55">
        <f>IFERROR((Historical!F19-Historical!F25)/Historical!F7,0)</f>
        <v>0.1031966833046941</v>
      </c>
      <c r="G15" s="55">
        <f>IFERROR((Historical!G19-Historical!G25)/Historical!G7,0)</f>
        <v>0.19412818296822354</v>
      </c>
      <c r="H15" s="55">
        <f>IFERROR((Historical!H19-Historical!H25)/Historical!H7,0)</f>
        <v>0.22622650661674784</v>
      </c>
      <c r="I15" s="55">
        <f>IFERROR((Historical!I19-Historical!I25)/Historical!I7,0)</f>
        <v>6.6256929380573634E-2</v>
      </c>
      <c r="J15" s="55">
        <f>IFERROR((Historical!J19-Historical!J25)/Historical!J7,0)</f>
        <v>0.11419608470566724</v>
      </c>
      <c r="K15" s="55">
        <f>IFERROR((Historical!K19-Historical!K25)/Historical!K7,0)</f>
        <v>7.9467374306970567E-2</v>
      </c>
      <c r="L15" s="55">
        <f>IFERROR((Historical!L19-Historical!L25)/Historical!L7,0)</f>
        <v>0.10645926564943117</v>
      </c>
      <c r="M15" s="53"/>
      <c r="O15" s="59">
        <f t="shared" ref="O15:O45" si="2">AVERAGE(C15:L15)</f>
        <v>0.13855368498141421</v>
      </c>
      <c r="P15" s="59">
        <f t="shared" si="0"/>
        <v>0.13693042851210274</v>
      </c>
    </row>
    <row r="16" spans="1:16" x14ac:dyDescent="0.25">
      <c r="A16" s="53"/>
      <c r="B16" s="54" t="s">
        <v>129</v>
      </c>
      <c r="C16" s="55">
        <f>IFERROR(Historical!C20,0)</f>
        <v>0.22135098194374506</v>
      </c>
      <c r="D16" s="55">
        <f>IFERROR(Historical!D20,0)</f>
        <v>0.20735962631893567</v>
      </c>
      <c r="E16" s="55">
        <f>IFERROR(Historical!E20,0)</f>
        <v>0.22334438453461072</v>
      </c>
      <c r="F16" s="55">
        <f>IFERROR(Historical!F20,0)</f>
        <v>0.16110247388375201</v>
      </c>
      <c r="G16" s="55">
        <f>IFERROR(Historical!G20,0)</f>
        <v>0.25273362642317665</v>
      </c>
      <c r="H16" s="55">
        <f>IFERROR(Historical!H20,0)</f>
        <v>0.26722506507436583</v>
      </c>
      <c r="I16" s="55">
        <f>IFERROR(Historical!I20,0)</f>
        <v>0.11129187756085804</v>
      </c>
      <c r="J16" s="55">
        <f>IFERROR(Historical!J20,0)</f>
        <v>0.16089162657280323</v>
      </c>
      <c r="K16" s="55">
        <f>IFERROR(Historical!K20,0)</f>
        <v>0.134607638724352</v>
      </c>
      <c r="L16" s="55">
        <f>IFERROR(Historical!L20,0)</f>
        <v>0.15822504987329486</v>
      </c>
      <c r="M16" s="53"/>
      <c r="O16" s="59">
        <f t="shared" si="2"/>
        <v>0.18981323509098941</v>
      </c>
      <c r="P16" s="59">
        <f t="shared" si="0"/>
        <v>0.18423105010134383</v>
      </c>
    </row>
    <row r="17" spans="1:16" x14ac:dyDescent="0.25">
      <c r="A17" s="53"/>
      <c r="B17" s="54" t="s">
        <v>130</v>
      </c>
      <c r="C17" s="55">
        <f>IFERROR(Historical!C29,0)</f>
        <v>9.1899863319185676E-2</v>
      </c>
      <c r="D17" s="55">
        <f>IFERROR(Historical!D29,0)</f>
        <v>0.10882348852404321</v>
      </c>
      <c r="E17" s="55">
        <f>IFERROR(Historical!E29,0)</f>
        <v>0.1294524346071711</v>
      </c>
      <c r="F17" s="55">
        <f>IFERROR(Historical!F29,0)</f>
        <v>4.5031775904863215E-2</v>
      </c>
      <c r="G17" s="55">
        <f>IFERROR(Historical!G29,0)</f>
        <v>0.14456593895214118</v>
      </c>
      <c r="H17" s="55">
        <f>IFERROR(Historical!H29,0)</f>
        <v>0.19228535707209762</v>
      </c>
      <c r="I17" s="55">
        <f>IFERROR(Historical!I29,0)</f>
        <v>2.4668594842130635E-2</v>
      </c>
      <c r="J17" s="55">
        <f>IFERROR(Historical!J29,0)</f>
        <v>6.7883386855307815E-2</v>
      </c>
      <c r="K17" s="55">
        <f>IFERROR(Historical!K29,0)</f>
        <v>2.9640335497322656E-2</v>
      </c>
      <c r="L17" s="55">
        <f>IFERROR(Historical!L29,0)</f>
        <v>5.7383943494904839E-2</v>
      </c>
      <c r="M17" s="53"/>
      <c r="O17" s="59">
        <f t="shared" si="2"/>
        <v>8.9163511906916806E-2</v>
      </c>
      <c r="P17" s="59">
        <f t="shared" si="0"/>
        <v>7.9891625087246745E-2</v>
      </c>
    </row>
    <row r="18" spans="1:16" x14ac:dyDescent="0.25">
      <c r="A18" s="53"/>
      <c r="B18" s="54" t="s">
        <v>131</v>
      </c>
      <c r="C18" s="55">
        <f>IFERROR(Historical!C35,0)</f>
        <v>6.1794115531256744E-2</v>
      </c>
      <c r="D18" s="55">
        <f>IFERROR(Historical!D35,0)</f>
        <v>8.7442481197781266E-2</v>
      </c>
      <c r="E18" s="55">
        <f>IFERROR(Historical!E35,0)</f>
        <v>8.645893554514672E-2</v>
      </c>
      <c r="F18" s="55">
        <f>IFERROR(Historical!F35,0)</f>
        <v>5.7387556937511935E-2</v>
      </c>
      <c r="G18" s="55">
        <f>IFERROR(Historical!G35,0)</f>
        <v>9.2686531644935427E-2</v>
      </c>
      <c r="H18" s="55">
        <f>IFERROR(Historical!H35,0)</f>
        <v>0.13211633451981608</v>
      </c>
      <c r="I18" s="55">
        <f>IFERROR(Historical!I35,0)</f>
        <v>1.5533863581585924E-2</v>
      </c>
      <c r="J18" s="55">
        <f>IFERROR(Historical!J35,0)</f>
        <v>4.2701393095093881E-2</v>
      </c>
      <c r="K18" s="55">
        <f>IFERROR(Historical!K35,0)</f>
        <v>2.0245936596692413E-2</v>
      </c>
      <c r="L18" s="55">
        <f>IFERROR(Historical!L35,0)</f>
        <v>3.7208173828651533E-2</v>
      </c>
      <c r="M18" s="53"/>
      <c r="O18" s="59">
        <f t="shared" si="2"/>
        <v>6.3357532247847195E-2</v>
      </c>
      <c r="P18" s="59">
        <f t="shared" si="0"/>
        <v>5.959083623438434E-2</v>
      </c>
    </row>
    <row r="19" spans="1:16" x14ac:dyDescent="0.25">
      <c r="A19" s="53"/>
      <c r="C19" s="53"/>
      <c r="D19" s="53"/>
      <c r="E19" s="53"/>
      <c r="F19" s="53"/>
      <c r="G19" s="53"/>
      <c r="H19" s="53"/>
      <c r="I19" s="53"/>
      <c r="J19" s="53"/>
      <c r="K19" s="53"/>
      <c r="L19" s="53"/>
      <c r="M19" s="53"/>
      <c r="O19" s="59"/>
      <c r="P19" s="59"/>
    </row>
    <row r="20" spans="1:16" x14ac:dyDescent="0.25">
      <c r="A20" s="53"/>
      <c r="B20" s="53"/>
      <c r="C20" s="53"/>
      <c r="D20" s="53"/>
      <c r="E20" s="53"/>
      <c r="F20" s="53"/>
      <c r="G20" s="53"/>
      <c r="H20" s="53"/>
      <c r="I20" s="53"/>
      <c r="J20" s="53"/>
      <c r="K20" s="53"/>
      <c r="L20" s="53"/>
      <c r="M20" s="53"/>
      <c r="O20" s="59"/>
      <c r="P20" s="59"/>
    </row>
    <row r="21" spans="1:16" x14ac:dyDescent="0.25">
      <c r="A21" s="53"/>
      <c r="B21" s="54" t="s">
        <v>132</v>
      </c>
      <c r="C21" s="55">
        <f>IFERROR(Historical!C17,0)</f>
        <v>2.8109488526005325E-2</v>
      </c>
      <c r="D21" s="55">
        <f>IFERROR(Historical!D17,0)</f>
        <v>2.4175274213504232E-2</v>
      </c>
      <c r="E21" s="55">
        <f>IFERROR(Historical!E17,0)</f>
        <v>3.4463230175678705E-2</v>
      </c>
      <c r="F21" s="55">
        <f>IFERROR(Historical!F17,0)</f>
        <v>4.6763767285819491E-2</v>
      </c>
      <c r="G21" s="55">
        <f>IFERROR(Historical!G17,0)</f>
        <v>3.024837485439447E-2</v>
      </c>
      <c r="H21" s="55">
        <f>IFERROR(Historical!H17,0)</f>
        <v>2.3768369417439247E-2</v>
      </c>
      <c r="I21" s="55">
        <f>IFERROR(Historical!I17,0)</f>
        <v>3.9557724752952515E-2</v>
      </c>
      <c r="J21" s="55">
        <f>IFERROR(Historical!J17,0)</f>
        <v>3.2844588185547925E-2</v>
      </c>
      <c r="K21" s="55">
        <f>IFERROR(Historical!K17,0)</f>
        <v>3.6677249680140266E-2</v>
      </c>
      <c r="L21" s="55">
        <f>IFERROR(Historical!L17,0)</f>
        <v>0.20540249096888985</v>
      </c>
      <c r="M21" s="53"/>
      <c r="O21" s="59">
        <f t="shared" si="2"/>
        <v>5.0201055806037197E-2</v>
      </c>
      <c r="P21" s="59">
        <f>MEDIAN(C21:L21)</f>
        <v>3.3653909180613312E-2</v>
      </c>
    </row>
    <row r="22" spans="1:16" x14ac:dyDescent="0.25">
      <c r="A22" s="53"/>
      <c r="B22" s="54" t="s">
        <v>133</v>
      </c>
      <c r="C22" s="55">
        <f>IFERROR(Historical!C26,0)</f>
        <v>6.1686209625206823E-2</v>
      </c>
      <c r="D22" s="55">
        <f>IFERROR(Historical!D26,0)</f>
        <v>4.7085482323829121E-2</v>
      </c>
      <c r="E22" s="55">
        <f>IFERROR(Historical!E26,0)</f>
        <v>4.7677477966421654E-2</v>
      </c>
      <c r="F22" s="55">
        <f>IFERROR(Historical!F26,0)</f>
        <v>5.7905790579057904E-2</v>
      </c>
      <c r="G22" s="55">
        <f>IFERROR(Historical!G26,0)</f>
        <v>5.8605443454953096E-2</v>
      </c>
      <c r="H22" s="55">
        <f>IFERROR(Historical!H26,0)</f>
        <v>4.0998558457617969E-2</v>
      </c>
      <c r="I22" s="55">
        <f>IFERROR(Historical!I26,0)</f>
        <v>4.5034948180284404E-2</v>
      </c>
      <c r="J22" s="55">
        <f>IFERROR(Historical!J26,0)</f>
        <v>4.6695541867135981E-2</v>
      </c>
      <c r="K22" s="55">
        <f>IFERROR(Historical!K26,0)</f>
        <v>5.5140264417381415E-2</v>
      </c>
      <c r="L22" s="55">
        <f>IFERROR(Historical!L26,0)</f>
        <v>5.1765784223863701E-2</v>
      </c>
      <c r="M22" s="53"/>
      <c r="O22" s="59">
        <f t="shared" si="2"/>
        <v>5.1259550109575204E-2</v>
      </c>
      <c r="P22" s="59">
        <f t="shared" si="0"/>
        <v>4.9721631095142674E-2</v>
      </c>
    </row>
    <row r="23" spans="1:16" x14ac:dyDescent="0.25">
      <c r="A23" s="53"/>
      <c r="B23" s="54" t="s">
        <v>134</v>
      </c>
      <c r="C23" s="55">
        <f>C15</f>
        <v>0.15966477231853823</v>
      </c>
      <c r="D23" s="55">
        <f t="shared" ref="D23:L23" si="3">D15</f>
        <v>0.16027414399510656</v>
      </c>
      <c r="E23" s="55">
        <f t="shared" si="3"/>
        <v>0.17566690656818906</v>
      </c>
      <c r="F23" s="55">
        <f t="shared" si="3"/>
        <v>0.1031966833046941</v>
      </c>
      <c r="G23" s="55">
        <f t="shared" si="3"/>
        <v>0.19412818296822354</v>
      </c>
      <c r="H23" s="55">
        <f t="shared" si="3"/>
        <v>0.22622650661674784</v>
      </c>
      <c r="I23" s="55">
        <f t="shared" si="3"/>
        <v>6.6256929380573634E-2</v>
      </c>
      <c r="J23" s="55">
        <f t="shared" si="3"/>
        <v>0.11419608470566724</v>
      </c>
      <c r="K23" s="55">
        <f t="shared" si="3"/>
        <v>7.9467374306970567E-2</v>
      </c>
      <c r="L23" s="55">
        <f t="shared" si="3"/>
        <v>0.10645926564943117</v>
      </c>
      <c r="M23" s="53"/>
      <c r="O23" s="59">
        <f t="shared" si="2"/>
        <v>0.13855368498141421</v>
      </c>
      <c r="P23" s="59">
        <f t="shared" si="0"/>
        <v>0.13693042851210274</v>
      </c>
    </row>
    <row r="24" spans="1:16" x14ac:dyDescent="0.25">
      <c r="A24" s="53"/>
      <c r="B24" s="53"/>
      <c r="C24" s="53"/>
      <c r="D24" s="53"/>
      <c r="E24" s="53"/>
      <c r="F24" s="53"/>
      <c r="G24" s="53"/>
      <c r="H24" s="53"/>
      <c r="I24" s="53"/>
      <c r="J24" s="53"/>
      <c r="K24" s="53"/>
      <c r="L24" s="53"/>
      <c r="M24" s="53"/>
      <c r="O24" s="59"/>
      <c r="P24" s="59"/>
    </row>
    <row r="25" spans="1:16" x14ac:dyDescent="0.25">
      <c r="A25" s="53"/>
      <c r="B25" s="54" t="s">
        <v>135</v>
      </c>
      <c r="C25" s="55">
        <f>IFERROR((Historical!C19-Historical!C25)/SUM(Historical!C52,Historical!C53,Historical!C54),0)</f>
        <v>0.13455388672496627</v>
      </c>
      <c r="D25" s="55">
        <f>IFERROR((Historical!D19-Historical!D25)/SUM(Historical!D52,Historical!D53,Historical!D54),0)</f>
        <v>0.17107625647341634</v>
      </c>
      <c r="E25" s="55">
        <f>IFERROR((Historical!E19-Historical!E25)/SUM(Historical!E52,Historical!E53,Historical!E54),0)</f>
        <v>0.18115122093659891</v>
      </c>
      <c r="F25" s="55">
        <f>IFERROR((Historical!F19-Historical!F25)/SUM(Historical!F52,Historical!F53,Historical!F54),0)</f>
        <v>7.7196955785435922E-2</v>
      </c>
      <c r="G25" s="55">
        <f>IFERROR((Historical!G19-Historical!G25)/SUM(Historical!G52,Historical!G53,Historical!G54),0)</f>
        <v>0.13796879033622048</v>
      </c>
      <c r="H25" s="55">
        <f>IFERROR((Historical!H19-Historical!H25)/SUM(Historical!H52,Historical!H53,Historical!H54),0)</f>
        <v>0.23731133630512993</v>
      </c>
      <c r="I25" s="55">
        <f>IFERROR((Historical!I19-Historical!I25)/SUM(Historical!I52,Historical!I53,Historical!I54),0)</f>
        <v>7.5033436143789059E-2</v>
      </c>
      <c r="J25" s="55">
        <f>IFERROR((Historical!J19-Historical!J25)/SUM(Historical!J52,Historical!J53,Historical!J54),0)</f>
        <v>0.12064375531985536</v>
      </c>
      <c r="K25" s="55">
        <f>IFERROR((Historical!K19-Historical!K25)/SUM(Historical!K52,Historical!K53,Historical!K54),0)</f>
        <v>7.5265921637269417E-2</v>
      </c>
      <c r="L25" s="55">
        <f>IFERROR((Historical!L19-Historical!L25)/SUM(Historical!L52,Historical!L53,Historical!L54),0)</f>
        <v>9.9040443813546139E-2</v>
      </c>
      <c r="M25" s="53"/>
      <c r="O25" s="59">
        <f t="shared" si="2"/>
        <v>0.13092420034762278</v>
      </c>
      <c r="P25" s="59">
        <f t="shared" si="0"/>
        <v>0.12759882102241082</v>
      </c>
    </row>
    <row r="26" spans="1:16" x14ac:dyDescent="0.25">
      <c r="A26" s="53"/>
      <c r="B26" s="54" t="s">
        <v>136</v>
      </c>
      <c r="C26" s="55">
        <f>IFERROR(Historical!C45,0)</f>
        <v>0.80289580908032598</v>
      </c>
      <c r="D26" s="55">
        <f>IFERROR(Historical!D45,0)</f>
        <v>0.84635930047694752</v>
      </c>
      <c r="E26" s="55">
        <f>IFERROR(Historical!E45,0)</f>
        <v>0.83159115720524013</v>
      </c>
      <c r="F26" s="55">
        <f>IFERROR(Historical!F45,0)</f>
        <v>0.85693916349809884</v>
      </c>
      <c r="G26" s="55">
        <f>IFERROR(Historical!G45,0)</f>
        <v>0.73472972972972972</v>
      </c>
      <c r="H26" s="55">
        <f>IFERROR(Historical!H45,0)</f>
        <v>0.72994363429517017</v>
      </c>
      <c r="I26" s="55">
        <f>IFERROR(Historical!I45,0)</f>
        <v>0.60302560124127225</v>
      </c>
      <c r="J26" s="55">
        <f>IFERROR(Historical!J45,0)</f>
        <v>0.70206075204067975</v>
      </c>
      <c r="K26" s="55">
        <f>IFERROR(Historical!K45,0)</f>
        <v>0.75014628437682851</v>
      </c>
      <c r="L26" s="55">
        <f>IFERROR(Historical!L45,0)</f>
        <v>0.68620489784089267</v>
      </c>
      <c r="M26" s="53"/>
      <c r="O26" s="59">
        <f t="shared" si="2"/>
        <v>0.75438963297851847</v>
      </c>
      <c r="P26" s="59">
        <f t="shared" si="0"/>
        <v>0.74243800705327911</v>
      </c>
    </row>
    <row r="27" spans="1:16" x14ac:dyDescent="0.25">
      <c r="A27" s="53"/>
      <c r="B27" s="54" t="s">
        <v>137</v>
      </c>
      <c r="C27" s="55">
        <f>IFERROR(Historical!C34/SUM(Historical!C52:C53),0)</f>
        <v>0.15171987459707686</v>
      </c>
      <c r="D27" s="55">
        <f>IFERROR(Historical!D34/SUM(Historical!D52:D53),0)</f>
        <v>0.22465890420744339</v>
      </c>
      <c r="E27" s="55">
        <f>IFERROR(Historical!E34/SUM(Historical!E52:E53),0)</f>
        <v>0.21060497197873257</v>
      </c>
      <c r="F27" s="55">
        <f>IFERROR(Historical!F34/SUM(Historical!F52:F53),0)</f>
        <v>0.1149758190114484</v>
      </c>
      <c r="G27" s="55">
        <f>IFERROR(Historical!G34/SUM(Historical!G52:G53),0)</f>
        <v>0.16224512168384125</v>
      </c>
      <c r="H27" s="55">
        <f>IFERROR(Historical!H34/SUM(Historical!H52:H53),0)</f>
        <v>0.28735307666017801</v>
      </c>
      <c r="I27" s="55">
        <f>IFERROR(Historical!I34/SUM(Historical!I52:I53),0)</f>
        <v>3.9241951442271099E-2</v>
      </c>
      <c r="J27" s="55">
        <f>IFERROR(Historical!J34/SUM(Historical!J52:J53),0)</f>
        <v>9.6215993510924566E-2</v>
      </c>
      <c r="K27" s="55">
        <f>IFERROR(Historical!K34/SUM(Historical!K52:K53),0)</f>
        <v>4.2995874006239311E-2</v>
      </c>
      <c r="L27" s="55">
        <f>IFERROR(Historical!L34/SUM(Historical!L52:L53),0)</f>
        <v>6.8973444074640441E-2</v>
      </c>
      <c r="M27" s="53"/>
      <c r="O27" s="59">
        <f t="shared" si="2"/>
        <v>0.13989850311727955</v>
      </c>
      <c r="P27" s="59">
        <f t="shared" si="0"/>
        <v>0.13334784680426265</v>
      </c>
    </row>
    <row r="28" spans="1:16" x14ac:dyDescent="0.25">
      <c r="A28" s="53"/>
      <c r="B28" s="54" t="s">
        <v>138</v>
      </c>
      <c r="C28" s="55">
        <f>IFERROR(C27*C26,0)</f>
        <v>0.12181525146818563</v>
      </c>
      <c r="D28" s="55">
        <f t="shared" ref="D28:L28" si="4">IFERROR(D27*D26,0)</f>
        <v>0.19014215301092935</v>
      </c>
      <c r="E28" s="55">
        <f t="shared" si="4"/>
        <v>0.1751372323609714</v>
      </c>
      <c r="F28" s="55">
        <f t="shared" si="4"/>
        <v>9.8527282166179411E-2</v>
      </c>
      <c r="G28" s="55">
        <f t="shared" si="4"/>
        <v>0.11920631440473579</v>
      </c>
      <c r="H28" s="55">
        <f t="shared" si="4"/>
        <v>0.20975154910322896</v>
      </c>
      <c r="I28" s="55">
        <f t="shared" si="4"/>
        <v>2.366390136235634E-2</v>
      </c>
      <c r="J28" s="55">
        <f t="shared" si="4"/>
        <v>6.7549472762620869E-2</v>
      </c>
      <c r="K28" s="55">
        <f t="shared" si="4"/>
        <v>3.2253195129314682E-2</v>
      </c>
      <c r="L28" s="55">
        <f t="shared" si="4"/>
        <v>4.7329915144973166E-2</v>
      </c>
      <c r="M28" s="53"/>
      <c r="O28" s="59">
        <f t="shared" si="2"/>
        <v>0.10853762669134955</v>
      </c>
      <c r="P28" s="59">
        <f t="shared" si="0"/>
        <v>0.1088667982854576</v>
      </c>
    </row>
    <row r="29" spans="1:16" x14ac:dyDescent="0.25">
      <c r="A29" s="53"/>
      <c r="B29" s="54" t="s">
        <v>139</v>
      </c>
      <c r="C29" s="56">
        <f>IFERROR((Historical!C19-Historical!C25)/Historical!C22,0)</f>
        <v>2.3561571125265393</v>
      </c>
      <c r="D29" s="56">
        <f>IFERROR((Historical!D19-Historical!D25)/Historical!D22,0)</f>
        <v>3.1151040259389355</v>
      </c>
      <c r="E29" s="56">
        <f>IFERROR((Historical!E19-Historical!E25)/Historical!E22,0)</f>
        <v>3.8011233086545824</v>
      </c>
      <c r="F29" s="56">
        <f>IFERROR((Historical!F19-Historical!F25)/Historical!F22,0)</f>
        <v>1.7742086752637749</v>
      </c>
      <c r="G29" s="56">
        <f>IFERROR((Historical!G19-Historical!G25)/Historical!G22,0)</f>
        <v>3.9168562041950974</v>
      </c>
      <c r="H29" s="56">
        <f>IFERROR((Historical!H19-Historical!H25)/Historical!H22,0)</f>
        <v>6.6652576489533013</v>
      </c>
      <c r="I29" s="56">
        <f>IFERROR((Historical!I19-Historical!I25)/Historical!I22,0)</f>
        <v>1.5931614024920313</v>
      </c>
      <c r="J29" s="56">
        <f>IFERROR((Historical!J19-Historical!J25)/Historical!J22,0)</f>
        <v>2.4657618753855646</v>
      </c>
      <c r="K29" s="56">
        <f>IFERROR((Historical!K19-Historical!K25)/Historical!K22,0)</f>
        <v>1.594864479315264</v>
      </c>
      <c r="L29" s="56">
        <f>IFERROR((Historical!L19-Historical!L25)/Historical!L22,0)</f>
        <v>2.1693034497912547</v>
      </c>
      <c r="M29" s="53"/>
      <c r="O29" s="56">
        <f t="shared" si="2"/>
        <v>2.9451798182516344</v>
      </c>
      <c r="P29" s="59">
        <f t="shared" si="0"/>
        <v>2.4109594939560521</v>
      </c>
    </row>
    <row r="30" spans="1:16" x14ac:dyDescent="0.25">
      <c r="A30" s="53"/>
      <c r="B30" s="53"/>
      <c r="C30" s="53"/>
      <c r="D30" s="53"/>
      <c r="E30" s="53"/>
      <c r="F30" s="53"/>
      <c r="G30" s="53"/>
      <c r="H30" s="53"/>
      <c r="I30" s="53"/>
      <c r="J30" s="53"/>
      <c r="K30" s="53"/>
      <c r="L30" s="53"/>
      <c r="M30" s="53"/>
      <c r="O30" s="59"/>
      <c r="P30" s="59"/>
    </row>
    <row r="31" spans="1:16" x14ac:dyDescent="0.25">
      <c r="A31" s="53"/>
      <c r="B31" s="54" t="s">
        <v>140</v>
      </c>
      <c r="C31" s="56"/>
      <c r="D31" s="56">
        <f>IFERROR(Historical!D7/AVERAGE(Historical!D64:E64),0)</f>
        <v>12.12626432906271</v>
      </c>
      <c r="E31" s="56">
        <f>IFERROR(Historical!E7/AVERAGE(Historical!E64:F64),0)</f>
        <v>14.531847406772396</v>
      </c>
      <c r="F31" s="56">
        <f>IFERROR(Historical!F7/AVERAGE(Historical!F64:G64),0)</f>
        <v>16.310977644310977</v>
      </c>
      <c r="G31" s="56">
        <f>IFERROR(Historical!G7/AVERAGE(Historical!G64:H64),0)</f>
        <v>13.370007535795027</v>
      </c>
      <c r="H31" s="56">
        <f>IFERROR(Historical!H7/AVERAGE(Historical!H64:I64),0)</f>
        <v>20.063189637447742</v>
      </c>
      <c r="I31" s="56">
        <f>IFERROR(Historical!I7/AVERAGE(Historical!I64:J64),0)</f>
        <v>22.607274213322437</v>
      </c>
      <c r="J31" s="56">
        <f>IFERROR(Historical!J7/AVERAGE(Historical!J64:K64),0)</f>
        <v>21.926454927018732</v>
      </c>
      <c r="K31" s="56">
        <f>IFERROR(Historical!K7/AVERAGE(Historical!K64:L64),0)</f>
        <v>17.161270648030495</v>
      </c>
      <c r="L31" s="56">
        <f>IFERROR(Historical!L7/AVERAGE(Historical!L64:M64),0)</f>
        <v>16.47158081705151</v>
      </c>
      <c r="M31" s="53"/>
      <c r="O31" s="56">
        <f t="shared" si="2"/>
        <v>17.174318573201337</v>
      </c>
      <c r="P31" s="56">
        <f t="shared" si="0"/>
        <v>16.47158081705151</v>
      </c>
    </row>
    <row r="32" spans="1:16" x14ac:dyDescent="0.25">
      <c r="A32" s="53"/>
      <c r="B32" s="54" t="s">
        <v>141</v>
      </c>
      <c r="C32" s="56"/>
      <c r="D32" s="56">
        <f>IFERROR((Historical!D65-Historical!C65+Historical!D10)/AVERAGE(Historical!C55:D55),0)</f>
        <v>2.423749544020771</v>
      </c>
      <c r="E32" s="56">
        <f>IFERROR((Historical!E65-Historical!D65+Historical!E10)/AVERAGE(Historical!D55:E55),0)</f>
        <v>2.268427035061642</v>
      </c>
      <c r="F32" s="56">
        <f>IFERROR((Historical!F65-Historical!E65+Historical!F10)/AVERAGE(Historical!E55:F55),0)</f>
        <v>1.7260707186314077</v>
      </c>
      <c r="G32" s="56">
        <f>IFERROR((Historical!G65-Historical!F65+Historical!G10)/AVERAGE(Historical!F55:G55),0)</f>
        <v>1.6822685940778737</v>
      </c>
      <c r="H32" s="56">
        <f>IFERROR((Historical!H65-Historical!G65+Historical!H10)/AVERAGE(Historical!G55:H55),0)</f>
        <v>2.6872963814463318</v>
      </c>
      <c r="I32" s="56">
        <f>IFERROR((Historical!I65-Historical!H65+Historical!I10)/AVERAGE(Historical!H55:I55),0)</f>
        <v>2.3196738932711547</v>
      </c>
      <c r="J32" s="56">
        <f>IFERROR((Historical!J65-Historical!I65+Historical!J10)/AVERAGE(Historical!I55:J55),0)</f>
        <v>2.3096581007002759</v>
      </c>
      <c r="K32" s="56">
        <f>IFERROR((Historical!K65-Historical!J65+Historical!K10)/AVERAGE(Historical!J55:K55),0)</f>
        <v>2.2026004082223043</v>
      </c>
      <c r="L32" s="56">
        <f>IFERROR((Historical!L65-Historical!K65+Historical!L10)/AVERAGE(Historical!K55:L55),0)</f>
        <v>1.7483510678439362</v>
      </c>
      <c r="M32" s="53"/>
      <c r="O32" s="56">
        <f t="shared" si="2"/>
        <v>2.1520106381417441</v>
      </c>
      <c r="P32" s="56">
        <f t="shared" si="0"/>
        <v>2.268427035061642</v>
      </c>
    </row>
    <row r="33" spans="1:16" x14ac:dyDescent="0.25">
      <c r="A33" s="53"/>
      <c r="B33" s="54" t="s">
        <v>47</v>
      </c>
      <c r="C33" s="56"/>
      <c r="D33" s="56">
        <f>IFERROR(Historical!D10/AVERAGE(Historical!C65:D65),0)</f>
        <v>4.6086122806286216</v>
      </c>
      <c r="E33" s="56">
        <f>IFERROR(Historical!E10/AVERAGE(Historical!D65:E65),0)</f>
        <v>4.6353253260629286</v>
      </c>
      <c r="F33" s="56">
        <f>IFERROR(Historical!F10/AVERAGE(Historical!E65:F65),0)</f>
        <v>4.1018325624095198</v>
      </c>
      <c r="G33" s="56">
        <f>IFERROR(Historical!G10/AVERAGE(Historical!F65:G65),0)</f>
        <v>4.0857897366355003</v>
      </c>
      <c r="H33" s="56">
        <f>IFERROR(Historical!H10/AVERAGE(Historical!G65:H65),0)</f>
        <v>4.3208427013073525</v>
      </c>
      <c r="I33" s="56">
        <f>IFERROR(Historical!I10/AVERAGE(Historical!H65:I65),0)</f>
        <v>4.2116194973252439</v>
      </c>
      <c r="J33" s="56">
        <f>IFERROR(Historical!J10/AVERAGE(Historical!I65:J65),0)</f>
        <v>3.9774770965468642</v>
      </c>
      <c r="K33" s="56">
        <f>IFERROR(Historical!K10/AVERAGE(Historical!J65:K65),0)</f>
        <v>3.8451306152176006</v>
      </c>
      <c r="L33" s="56">
        <f>IFERROR(Historical!L10/AVERAGE(Historical!K65:L65),0)</f>
        <v>3.4857134419160971</v>
      </c>
      <c r="M33" s="53"/>
      <c r="O33" s="56">
        <f t="shared" si="2"/>
        <v>4.1413714731166369</v>
      </c>
      <c r="P33" s="56">
        <f t="shared" si="0"/>
        <v>4.1018325624095198</v>
      </c>
    </row>
    <row r="34" spans="1:16" x14ac:dyDescent="0.25">
      <c r="A34" s="53"/>
      <c r="B34" s="54" t="s">
        <v>142</v>
      </c>
      <c r="C34" s="56"/>
      <c r="D34" s="56">
        <f>IFERROR(Historical!D7/AVERAGE(Historical!C58:D58),0)</f>
        <v>1.2340750398874574</v>
      </c>
      <c r="E34" s="56">
        <f>IFERROR(Historical!E7/AVERAGE(Historical!D58:E58),0)</f>
        <v>1.4068485874580885</v>
      </c>
      <c r="F34" s="56">
        <f>IFERROR(Historical!F7/AVERAGE(Historical!E58:F58),0)</f>
        <v>1.1757650586471471</v>
      </c>
      <c r="G34" s="56">
        <f>IFERROR(Historical!G7/AVERAGE(Historical!F58:G58),0)</f>
        <v>1.257287286814381</v>
      </c>
      <c r="H34" s="56">
        <f>IFERROR(Historical!H7/AVERAGE(Historical!G58:H58),0)</f>
        <v>1.7763794243827253</v>
      </c>
      <c r="I34" s="56">
        <f>IFERROR(Historical!I7/AVERAGE(Historical!H58:I58),0)</f>
        <v>1.6244151674725447</v>
      </c>
      <c r="J34" s="56">
        <f>IFERROR(Historical!J7/AVERAGE(Historical!I58:J58),0)</f>
        <v>1.6136054547214782</v>
      </c>
      <c r="K34" s="56">
        <f>IFERROR(Historical!K7/AVERAGE(Historical!J58:K58),0)</f>
        <v>1.4251140646697085</v>
      </c>
      <c r="L34" s="56">
        <f>IFERROR(Historical!L7/AVERAGE(Historical!K58:L58),0)</f>
        <v>1.5326959151798627</v>
      </c>
      <c r="M34" s="53"/>
      <c r="O34" s="56">
        <f t="shared" si="2"/>
        <v>1.4495762221370438</v>
      </c>
      <c r="P34" s="56">
        <f t="shared" si="0"/>
        <v>1.4251140646697085</v>
      </c>
    </row>
    <row r="35" spans="1:16" x14ac:dyDescent="0.25">
      <c r="A35" s="53"/>
      <c r="B35" s="54" t="s">
        <v>143</v>
      </c>
      <c r="C35" s="56">
        <f>IFERROR(Historical!C7/SUM(Historical!C52:C54),0)</f>
        <v>0.842727451842197</v>
      </c>
      <c r="D35" s="56">
        <f>IFERROR(Historical!D7/SUM(Historical!D52:D54),0)</f>
        <v>1.0673977237316556</v>
      </c>
      <c r="E35" s="56">
        <f>IFERROR(Historical!E7/SUM(Historical!E52:E54),0)</f>
        <v>1.0312199632563177</v>
      </c>
      <c r="F35" s="56">
        <f>IFERROR(Historical!F7/SUM(Historical!F52:F54),0)</f>
        <v>0.74805655873171328</v>
      </c>
      <c r="G35" s="56">
        <f>IFERROR(Historical!G7/SUM(Historical!G52:G54),0)</f>
        <v>0.7107097394447065</v>
      </c>
      <c r="H35" s="56">
        <f>IFERROR(Historical!H7/SUM(Historical!H52:H54),0)</f>
        <v>1.0489988103257988</v>
      </c>
      <c r="I35" s="56">
        <f>IFERROR(Historical!I7/SUM(Historical!I52:I54),0)</f>
        <v>1.1324617190272128</v>
      </c>
      <c r="J35" s="56">
        <f>IFERROR(Historical!J7/SUM(Historical!J52:J54),0)</f>
        <v>1.0564613982239983</v>
      </c>
      <c r="K35" s="56">
        <f>IFERROR(Historical!K7/SUM(Historical!K52:K54),0)</f>
        <v>0.94712984156904989</v>
      </c>
      <c r="L35" s="56">
        <f>IFERROR(Historical!L7/SUM(Historical!L52:L54),0)</f>
        <v>0.93031304705486972</v>
      </c>
      <c r="M35" s="53"/>
      <c r="O35" s="56">
        <f t="shared" si="2"/>
        <v>0.95154762532075199</v>
      </c>
      <c r="P35" s="56">
        <f t="shared" si="0"/>
        <v>0.9891749024126838</v>
      </c>
    </row>
    <row r="36" spans="1:16" x14ac:dyDescent="0.25">
      <c r="A36" s="53"/>
      <c r="B36" s="53"/>
      <c r="C36" s="53"/>
      <c r="D36" s="53"/>
      <c r="E36" s="53"/>
      <c r="F36" s="53"/>
      <c r="G36" s="53"/>
      <c r="H36" s="53"/>
      <c r="I36" s="53"/>
      <c r="J36" s="53"/>
      <c r="K36" s="53"/>
      <c r="L36" s="53"/>
      <c r="M36" s="53"/>
      <c r="O36" s="59"/>
      <c r="P36" s="59"/>
    </row>
    <row r="37" spans="1:16" x14ac:dyDescent="0.25">
      <c r="A37" s="53"/>
      <c r="B37" s="57" t="s">
        <v>150</v>
      </c>
      <c r="C37" s="53"/>
      <c r="D37" s="53"/>
      <c r="E37" s="53"/>
      <c r="F37" s="53"/>
      <c r="G37" s="53"/>
      <c r="H37" s="53"/>
      <c r="I37" s="53"/>
      <c r="J37" s="53"/>
      <c r="K37" s="53"/>
      <c r="L37" s="53"/>
      <c r="M37" s="53"/>
      <c r="O37" s="59"/>
      <c r="P37" s="59"/>
    </row>
    <row r="38" spans="1:16" x14ac:dyDescent="0.25">
      <c r="A38" s="53"/>
      <c r="B38" s="54" t="s">
        <v>46</v>
      </c>
      <c r="C38" s="58"/>
      <c r="D38" s="58">
        <f t="shared" ref="D38:L38" si="5">365/D31</f>
        <v>30.099954123976477</v>
      </c>
      <c r="E38" s="58">
        <f t="shared" si="5"/>
        <v>25.117246953054025</v>
      </c>
      <c r="F38" s="58">
        <f t="shared" si="5"/>
        <v>22.377567302184765</v>
      </c>
      <c r="G38" s="58">
        <f t="shared" si="5"/>
        <v>27.29990981850975</v>
      </c>
      <c r="H38" s="58">
        <f t="shared" si="5"/>
        <v>18.192521059499491</v>
      </c>
      <c r="I38" s="58">
        <f t="shared" si="5"/>
        <v>16.145245842371654</v>
      </c>
      <c r="J38" s="58">
        <f t="shared" si="5"/>
        <v>16.646557832302893</v>
      </c>
      <c r="K38" s="58">
        <f t="shared" si="5"/>
        <v>21.268821376107663</v>
      </c>
      <c r="L38" s="58">
        <f t="shared" si="5"/>
        <v>22.159378875289804</v>
      </c>
      <c r="M38" s="53"/>
      <c r="O38" s="56">
        <f t="shared" ref="O38:P41" si="6">AVERAGE(D38:L38)</f>
        <v>22.145244798144059</v>
      </c>
      <c r="P38" s="56">
        <f t="shared" si="6"/>
        <v>21.150906132415003</v>
      </c>
    </row>
    <row r="39" spans="1:16" x14ac:dyDescent="0.25">
      <c r="A39" s="53"/>
      <c r="B39" s="54" t="s">
        <v>144</v>
      </c>
      <c r="C39" s="58"/>
      <c r="D39" s="58">
        <f t="shared" ref="D39:L39" si="7">365/D32</f>
        <v>150.59311755227793</v>
      </c>
      <c r="E39" s="58">
        <f t="shared" si="7"/>
        <v>160.90444804193649</v>
      </c>
      <c r="F39" s="58">
        <f t="shared" si="7"/>
        <v>211.46294648310038</v>
      </c>
      <c r="G39" s="58">
        <f t="shared" si="7"/>
        <v>216.96891999584213</v>
      </c>
      <c r="H39" s="58">
        <f t="shared" si="7"/>
        <v>135.82424421810634</v>
      </c>
      <c r="I39" s="58">
        <f t="shared" si="7"/>
        <v>157.34970379189153</v>
      </c>
      <c r="J39" s="58">
        <f t="shared" si="7"/>
        <v>158.03204807210815</v>
      </c>
      <c r="K39" s="58">
        <f t="shared" si="7"/>
        <v>165.71321726694296</v>
      </c>
      <c r="L39" s="58">
        <f t="shared" si="7"/>
        <v>208.76813971356304</v>
      </c>
      <c r="M39" s="53"/>
      <c r="O39" s="56">
        <f t="shared" si="6"/>
        <v>173.95742057064098</v>
      </c>
      <c r="P39" s="56">
        <f t="shared" si="6"/>
        <v>176.87795844793638</v>
      </c>
    </row>
    <row r="40" spans="1:16" x14ac:dyDescent="0.25">
      <c r="A40" s="53"/>
      <c r="B40" s="54" t="s">
        <v>145</v>
      </c>
      <c r="C40" s="58"/>
      <c r="D40" s="58">
        <f t="shared" ref="D40:L40" si="8">365/D33</f>
        <v>79.199545931473637</v>
      </c>
      <c r="E40" s="58">
        <f t="shared" si="8"/>
        <v>78.743124662194376</v>
      </c>
      <c r="F40" s="58">
        <f t="shared" si="8"/>
        <v>88.98461710625989</v>
      </c>
      <c r="G40" s="58">
        <f t="shared" si="8"/>
        <v>89.334014603640441</v>
      </c>
      <c r="H40" s="58">
        <f t="shared" si="8"/>
        <v>84.474262367746547</v>
      </c>
      <c r="I40" s="58">
        <f t="shared" si="8"/>
        <v>86.664999113003375</v>
      </c>
      <c r="J40" s="58">
        <f t="shared" si="8"/>
        <v>91.766713205434399</v>
      </c>
      <c r="K40" s="58">
        <f t="shared" si="8"/>
        <v>94.925253918674542</v>
      </c>
      <c r="L40" s="58">
        <f t="shared" si="8"/>
        <v>104.71314010234859</v>
      </c>
      <c r="M40" s="53"/>
      <c r="O40" s="56">
        <f t="shared" si="6"/>
        <v>88.756185667863988</v>
      </c>
      <c r="P40" s="56">
        <f t="shared" si="6"/>
        <v>89.95076563491277</v>
      </c>
    </row>
    <row r="41" spans="1:16" x14ac:dyDescent="0.25">
      <c r="A41" s="53"/>
      <c r="B41" s="54" t="s">
        <v>146</v>
      </c>
      <c r="C41" s="58"/>
      <c r="D41" s="58">
        <f>D38+D40-D39</f>
        <v>-41.293617496827821</v>
      </c>
      <c r="E41" s="58">
        <f t="shared" ref="E41:L41" si="9">E38+E40-E39</f>
        <v>-57.044076426688093</v>
      </c>
      <c r="F41" s="58">
        <f t="shared" si="9"/>
        <v>-100.10076207465573</v>
      </c>
      <c r="G41" s="58">
        <f t="shared" si="9"/>
        <v>-100.33499557369194</v>
      </c>
      <c r="H41" s="58">
        <f t="shared" si="9"/>
        <v>-33.157460790860313</v>
      </c>
      <c r="I41" s="58">
        <f t="shared" si="9"/>
        <v>-54.539458836516502</v>
      </c>
      <c r="J41" s="58">
        <f t="shared" si="9"/>
        <v>-49.618777034370865</v>
      </c>
      <c r="K41" s="58">
        <f t="shared" si="9"/>
        <v>-49.519141972160753</v>
      </c>
      <c r="L41" s="58">
        <f t="shared" si="9"/>
        <v>-81.895620735924652</v>
      </c>
      <c r="M41" s="53"/>
      <c r="O41" s="56">
        <f t="shared" si="6"/>
        <v>-63.055990104632961</v>
      </c>
      <c r="P41" s="56">
        <f t="shared" si="6"/>
        <v>-65.776286680608607</v>
      </c>
    </row>
    <row r="42" spans="1:16" x14ac:dyDescent="0.25">
      <c r="A42" s="53"/>
      <c r="B42" s="53"/>
      <c r="C42" s="53"/>
      <c r="D42" s="53"/>
      <c r="E42" s="53"/>
      <c r="F42" s="53"/>
      <c r="G42" s="53"/>
      <c r="H42" s="53"/>
      <c r="I42" s="53"/>
      <c r="J42" s="53"/>
      <c r="K42" s="53"/>
      <c r="L42" s="53"/>
      <c r="M42" s="53"/>
      <c r="O42" s="59"/>
      <c r="P42" s="59"/>
    </row>
    <row r="43" spans="1:16" x14ac:dyDescent="0.25">
      <c r="A43" s="53"/>
      <c r="B43" s="54" t="s">
        <v>147</v>
      </c>
      <c r="C43" s="55">
        <f>IFERROR(Historical!C75/Historical!C7,0)</f>
        <v>0.14186029782030068</v>
      </c>
      <c r="D43" s="55">
        <f>IFERROR(Historical!D75/Historical!D7,0)</f>
        <v>0.17209069550832023</v>
      </c>
      <c r="E43" s="55">
        <f>IFERROR(Historical!E75/Historical!E7,0)</f>
        <v>0.17264650707316209</v>
      </c>
      <c r="F43" s="55">
        <f>IFERROR(Historical!F75/Historical!F7,0)</f>
        <v>0.17435834492540164</v>
      </c>
      <c r="G43" s="55">
        <f>IFERROR(Historical!G75/Historical!G7,0)</f>
        <v>0.23586217262240258</v>
      </c>
      <c r="H43" s="55">
        <f>IFERROR(Historical!H75/Historical!H7,0)</f>
        <v>0.17947544253984737</v>
      </c>
      <c r="I43" s="55">
        <f>IFERROR(Historical!I75/Historical!I7,0)</f>
        <v>0.14053386358158593</v>
      </c>
      <c r="J43" s="55">
        <f>IFERROR(Historical!J75/Historical!J7,0)</f>
        <v>6.9014776636229611E-2</v>
      </c>
      <c r="K43" s="55">
        <f>IFERROR(Historical!K75/Historical!K7,0)</f>
        <v>0.1237916409989101</v>
      </c>
      <c r="L43" s="55">
        <f>IFERROR(Historical!L75/Historical!L7,0)</f>
        <v>0.13561222839273199</v>
      </c>
      <c r="M43" s="53"/>
      <c r="O43" s="59">
        <f t="shared" si="2"/>
        <v>0.15452459700988924</v>
      </c>
      <c r="P43" s="59">
        <f t="shared" si="0"/>
        <v>0.15697549666431046</v>
      </c>
    </row>
    <row r="44" spans="1:16" x14ac:dyDescent="0.25">
      <c r="A44" s="53"/>
      <c r="B44" s="54" t="s">
        <v>148</v>
      </c>
      <c r="C44" s="55">
        <f>IFERROR(Historical!C75/Historical!C69,0)</f>
        <v>8.963127095051418E-2</v>
      </c>
      <c r="D44" s="55">
        <f>IFERROR(Historical!D75/Historical!D69,0)</f>
        <v>0.13459823855605088</v>
      </c>
      <c r="E44" s="55">
        <f>IFERROR(Historical!E75/Historical!E69,0)</f>
        <v>0.12746848785247</v>
      </c>
      <c r="F44" s="55">
        <f>IFERROR(Historical!F75/Historical!F69,0)</f>
        <v>9.6988317402518592E-2</v>
      </c>
      <c r="G44" s="55">
        <f>IFERROR(Historical!G75/Historical!G69,0)</f>
        <v>0.12796015302759525</v>
      </c>
      <c r="H44" s="55">
        <f>IFERROR(Historical!H75/Historical!H69,0)</f>
        <v>0.1336997735196071</v>
      </c>
      <c r="I44" s="55">
        <f>IFERROR(Historical!I75/Historical!I69,0)</f>
        <v>0.11077757565106702</v>
      </c>
      <c r="J44" s="55">
        <f>IFERROR(Historical!J75/Historical!J69,0)</f>
        <v>5.2997393570807995E-2</v>
      </c>
      <c r="K44" s="55">
        <f>IFERROR(Historical!K75/Historical!K69,0)</f>
        <v>8.6918006196843353E-2</v>
      </c>
      <c r="L44" s="55">
        <f>IFERROR(Historical!L75/Historical!L69,0)</f>
        <v>9.3267476527388427E-2</v>
      </c>
      <c r="M44" s="53"/>
      <c r="O44" s="59">
        <f t="shared" si="2"/>
        <v>0.10543066932548628</v>
      </c>
      <c r="P44" s="59">
        <f t="shared" si="0"/>
        <v>0.10388294652679281</v>
      </c>
    </row>
    <row r="45" spans="1:16" x14ac:dyDescent="0.25">
      <c r="A45" s="53"/>
      <c r="B45" s="54" t="s">
        <v>149</v>
      </c>
      <c r="C45" s="55">
        <f>IFERROR(Historical!C75/Historical!C54,0)</f>
        <v>0.18202796880048</v>
      </c>
      <c r="D45" s="55">
        <f>IFERROR(Historical!D75/Historical!D54,0)</f>
        <v>0.31424364734851368</v>
      </c>
      <c r="E45" s="55">
        <f>IFERROR(Historical!E75/Historical!E54,0)</f>
        <v>0.30873913410414383</v>
      </c>
      <c r="F45" s="55">
        <f>IFERROR(Historical!F75/Historical!F54,0)</f>
        <v>0.20814678540611822</v>
      </c>
      <c r="G45" s="55">
        <f>IFERROR(Historical!G75/Historical!G54,0)</f>
        <v>0.28220960031171788</v>
      </c>
      <c r="H45" s="55">
        <f>IFERROR(Historical!H75/Historical!H54,0)</f>
        <v>0.36366405027894294</v>
      </c>
      <c r="I45" s="55">
        <f>IFERROR(Historical!I75/Historical!I54,0)</f>
        <v>0.28846177631009362</v>
      </c>
      <c r="J45" s="55">
        <f>IFERROR(Historical!J75/Historical!J54,0)</f>
        <v>0.13727495908346973</v>
      </c>
      <c r="K45" s="55">
        <f>IFERROR(Historical!K75/Historical!K54,0)</f>
        <v>0.21163115683732989</v>
      </c>
      <c r="L45" s="55">
        <f>IFERROR(Historical!L75/Historical!L54,0)</f>
        <v>0.25326754606786828</v>
      </c>
      <c r="M45" s="53"/>
      <c r="O45" s="59">
        <f t="shared" si="2"/>
        <v>0.25496666245486782</v>
      </c>
      <c r="P45" s="59">
        <f t="shared" si="0"/>
        <v>0.26773857318979311</v>
      </c>
    </row>
    <row r="46" spans="1:16" x14ac:dyDescent="0.25">
      <c r="A46" s="53"/>
      <c r="B46" s="53"/>
      <c r="C46" s="53"/>
      <c r="D46" s="53"/>
      <c r="E46" s="53"/>
      <c r="F46" s="53"/>
      <c r="G46" s="53"/>
      <c r="H46" s="53"/>
      <c r="I46" s="53"/>
      <c r="J46" s="53"/>
      <c r="K46" s="53"/>
      <c r="L46" s="53"/>
      <c r="M46" s="53"/>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69C496E5-0F4E-40E5-8309-0383AD8F0388}">
          <x14:colorSeries rgb="FF376092"/>
          <x14:colorNegative rgb="FFD00000"/>
          <x14:colorAxis rgb="FF000000"/>
          <x14:colorMarkers rgb="FFD00000"/>
          <x14:colorFirst rgb="FFD00000"/>
          <x14:colorLast rgb="FFD00000"/>
          <x14:colorHigh rgb="FFD00000"/>
          <x14:colorLow rgb="FFD00000"/>
          <x14:sparklines>
            <x14:sparkline>
              <xm:f>'Ratio Analysis'!D7:L7</xm:f>
              <xm:sqref>N7</xm:sqref>
            </x14:sparkline>
            <x14:sparkline>
              <xm:f>'Ratio Analysis'!D8:L8</xm:f>
              <xm:sqref>N8</xm:sqref>
            </x14:sparkline>
            <x14:sparkline>
              <xm:f>'Ratio Analysis'!D9:L9</xm:f>
              <xm:sqref>N9</xm:sqref>
            </x14:sparkline>
            <x14:sparkline>
              <xm:f>'Ratio Analysis'!D10:L10</xm:f>
              <xm:sqref>N10</xm:sqref>
            </x14:sparkline>
            <x14:sparkline>
              <xm:f>'Ratio Analysis'!D11:L11</xm:f>
              <xm:sqref>N11</xm:sqref>
            </x14:sparkline>
            <x14:sparkline>
              <xm:f>'Ratio Analysis'!D12:L12</xm:f>
              <xm:sqref>N12</xm:sqref>
            </x14:sparkline>
            <x14:sparkline>
              <xm:f>'Ratio Analysis'!D13:L13</xm:f>
              <xm:sqref>N13</xm:sqref>
            </x14:sparkline>
          </x14:sparklines>
        </x14:sparklineGroup>
        <x14:sparklineGroup displayEmptyCellsAs="gap" xr2:uid="{BE35150A-B0EF-446B-9A49-BC3E2E6DC760}">
          <x14:colorSeries rgb="FF376092"/>
          <x14:colorNegative rgb="FFD00000"/>
          <x14:colorAxis rgb="FF000000"/>
          <x14:colorMarkers rgb="FFD00000"/>
          <x14:colorFirst rgb="FFD00000"/>
          <x14:colorLast rgb="FFD00000"/>
          <x14:colorHigh rgb="FFD00000"/>
          <x14:colorLow rgb="FFD00000"/>
          <x14:sparklines>
            <x14:sparkline>
              <xm:f>'Ratio Analysis'!C14:L14</xm:f>
              <xm:sqref>N14</xm:sqref>
            </x14:sparkline>
            <x14:sparkline>
              <xm:f>'Ratio Analysis'!C15:L15</xm:f>
              <xm:sqref>N15</xm:sqref>
            </x14:sparkline>
            <x14:sparkline>
              <xm:f>'Ratio Analysis'!C16:L16</xm:f>
              <xm:sqref>N16</xm:sqref>
            </x14:sparkline>
            <x14:sparkline>
              <xm:f>'Ratio Analysis'!C17:L17</xm:f>
              <xm:sqref>N17</xm:sqref>
            </x14:sparkline>
            <x14:sparkline>
              <xm:f>'Ratio Analysis'!C18:L18</xm:f>
              <xm:sqref>N18</xm:sqref>
            </x14:sparkline>
            <x14:sparkline>
              <xm:f>'Ratio Analysis'!C19:L19</xm:f>
              <xm:sqref>N19</xm:sqref>
            </x14:sparkline>
            <x14:sparkline>
              <xm:f>'Ratio Analysis'!C20:L20</xm:f>
              <xm:sqref>N20</xm:sqref>
            </x14:sparkline>
            <x14:sparkline>
              <xm:f>'Ratio Analysis'!C21:L21</xm:f>
              <xm:sqref>N21</xm:sqref>
            </x14:sparkline>
            <x14:sparkline>
              <xm:f>'Ratio Analysis'!C22:L22</xm:f>
              <xm:sqref>N22</xm:sqref>
            </x14:sparkline>
            <x14:sparkline>
              <xm:f>'Ratio Analysis'!C23:L23</xm:f>
              <xm:sqref>N23</xm:sqref>
            </x14:sparkline>
            <x14:sparkline>
              <xm:f>'Ratio Analysis'!C24:L24</xm:f>
              <xm:sqref>N24</xm:sqref>
            </x14:sparkline>
            <x14:sparkline>
              <xm:f>'Ratio Analysis'!C25:L25</xm:f>
              <xm:sqref>N25</xm:sqref>
            </x14:sparkline>
            <x14:sparkline>
              <xm:f>'Ratio Analysis'!C26:L26</xm:f>
              <xm:sqref>N26</xm:sqref>
            </x14:sparkline>
            <x14:sparkline>
              <xm:f>'Ratio Analysis'!C27:L27</xm:f>
              <xm:sqref>N27</xm:sqref>
            </x14:sparkline>
            <x14:sparkline>
              <xm:f>'Ratio Analysis'!C28:L28</xm:f>
              <xm:sqref>N28</xm:sqref>
            </x14:sparkline>
            <x14:sparkline>
              <xm:f>'Ratio Analysis'!C29:L29</xm:f>
              <xm:sqref>N29</xm:sqref>
            </x14:sparkline>
            <x14:sparkline>
              <xm:f>'Ratio Analysis'!C30:L30</xm:f>
              <xm:sqref>N30</xm:sqref>
            </x14:sparkline>
            <x14:sparkline>
              <xm:f>'Ratio Analysis'!C31:L31</xm:f>
              <xm:sqref>N31</xm:sqref>
            </x14:sparkline>
            <x14:sparkline>
              <xm:f>'Ratio Analysis'!C32:L32</xm:f>
              <xm:sqref>N32</xm:sqref>
            </x14:sparkline>
            <x14:sparkline>
              <xm:f>'Ratio Analysis'!C33:L33</xm:f>
              <xm:sqref>N33</xm:sqref>
            </x14:sparkline>
            <x14:sparkline>
              <xm:f>'Ratio Analysis'!C34:L34</xm:f>
              <xm:sqref>N34</xm:sqref>
            </x14:sparkline>
            <x14:sparkline>
              <xm:f>'Ratio Analysis'!C35:L35</xm:f>
              <xm:sqref>N35</xm:sqref>
            </x14:sparkline>
            <x14:sparkline>
              <xm:f>'Ratio Analysis'!C36:L36</xm:f>
              <xm:sqref>N36</xm:sqref>
            </x14:sparkline>
            <x14:sparkline>
              <xm:f>'Ratio Analysis'!C37:L37</xm:f>
              <xm:sqref>N37</xm:sqref>
            </x14:sparkline>
            <x14:sparkline>
              <xm:f>'Ratio Analysis'!C38:L38</xm:f>
              <xm:sqref>N38</xm:sqref>
            </x14:sparkline>
            <x14:sparkline>
              <xm:f>'Ratio Analysis'!C39:L39</xm:f>
              <xm:sqref>N39</xm:sqref>
            </x14:sparkline>
            <x14:sparkline>
              <xm:f>'Ratio Analysis'!C40:L40</xm:f>
              <xm:sqref>N40</xm:sqref>
            </x14:sparkline>
            <x14:sparkline>
              <xm:f>'Ratio Analysis'!C41:L41</xm:f>
              <xm:sqref>N41</xm:sqref>
            </x14:sparkline>
            <x14:sparkline>
              <xm:f>'Ratio Analysis'!C42:L42</xm:f>
              <xm:sqref>N42</xm:sqref>
            </x14:sparkline>
            <x14:sparkline>
              <xm:f>'Ratio Analysis'!C43:L43</xm:f>
              <xm:sqref>N43</xm:sqref>
            </x14:sparkline>
            <x14:sparkline>
              <xm:f>'Ratio Analysis'!C44:L44</xm:f>
              <xm:sqref>N44</xm:sqref>
            </x14:sparkline>
            <x14:sparkline>
              <xm:f>'Ratio Analysis'!C45:L45</xm:f>
              <xm:sqref>N45</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3ABA-C943-4C50-A114-D105543AA3E7}">
  <dimension ref="A1:M54"/>
  <sheetViews>
    <sheetView showGridLines="0" topLeftCell="A31" zoomScale="85" zoomScaleNormal="85" workbookViewId="0">
      <selection activeCell="G24" sqref="G24"/>
    </sheetView>
  </sheetViews>
  <sheetFormatPr defaultRowHeight="15" outlineLevelRow="1" x14ac:dyDescent="0.25"/>
  <cols>
    <col min="1" max="1" width="1.85546875" customWidth="1"/>
    <col min="2" max="10" width="12.7109375" customWidth="1"/>
    <col min="11" max="11" width="10.28515625" customWidth="1"/>
    <col min="12" max="12" width="10.85546875" customWidth="1"/>
    <col min="13" max="13" width="12.7109375" customWidth="1"/>
  </cols>
  <sheetData>
    <row r="1" spans="1:12" ht="3" customHeight="1" x14ac:dyDescent="0.25"/>
    <row r="2" spans="1:12" ht="26.25" customHeight="1" x14ac:dyDescent="0.35">
      <c r="B2" s="126" t="s">
        <v>256</v>
      </c>
      <c r="C2" s="126"/>
      <c r="D2" s="126"/>
      <c r="E2" s="126"/>
    </row>
    <row r="5" spans="1:12" x14ac:dyDescent="0.25">
      <c r="A5" t="s">
        <v>94</v>
      </c>
      <c r="B5" s="105" t="s">
        <v>257</v>
      </c>
      <c r="C5" s="105"/>
      <c r="D5" s="105"/>
      <c r="E5" s="105"/>
    </row>
    <row r="6" spans="1:12" x14ac:dyDescent="0.25">
      <c r="B6" t="str">
        <f>"FCFF "&amp;FCFF!J28&amp;"E"</f>
        <v>FCFF 2032E</v>
      </c>
      <c r="E6" s="97">
        <f>FCFF!J49</f>
        <v>15250.407359825287</v>
      </c>
    </row>
    <row r="7" spans="1:12" x14ac:dyDescent="0.25">
      <c r="B7" t="s">
        <v>258</v>
      </c>
      <c r="E7" s="91">
        <f>FCFF!F20</f>
        <v>6.5000000000000002E-2</v>
      </c>
    </row>
    <row r="8" spans="1:12" x14ac:dyDescent="0.25">
      <c r="B8" t="s">
        <v>281</v>
      </c>
      <c r="E8" s="91">
        <f>WACC!L42</f>
        <v>0.11111773800725414</v>
      </c>
    </row>
    <row r="9" spans="1:12" x14ac:dyDescent="0.25">
      <c r="B9" s="87" t="s">
        <v>259</v>
      </c>
      <c r="C9" s="87"/>
      <c r="D9" s="87"/>
      <c r="E9" s="99">
        <f>(E6*(1+E7)/(E8-E7))</f>
        <v>352178.67441068293</v>
      </c>
    </row>
    <row r="12" spans="1:12" x14ac:dyDescent="0.25">
      <c r="A12" t="s">
        <v>94</v>
      </c>
      <c r="B12" s="105" t="s">
        <v>260</v>
      </c>
      <c r="C12" s="105"/>
      <c r="D12" s="105"/>
      <c r="E12" s="105"/>
    </row>
    <row r="13" spans="1:12" x14ac:dyDescent="0.25">
      <c r="B13" s="102" t="s">
        <v>209</v>
      </c>
      <c r="C13" s="102"/>
      <c r="D13" s="102"/>
      <c r="E13" s="102">
        <f>FCFF!E28</f>
        <v>2027</v>
      </c>
      <c r="F13" s="102">
        <f>FCFF!F28</f>
        <v>2028</v>
      </c>
      <c r="G13" s="102">
        <f>FCFF!G28</f>
        <v>2029</v>
      </c>
      <c r="H13" s="102">
        <f>FCFF!H28</f>
        <v>2030</v>
      </c>
      <c r="I13" s="102">
        <f>FCFF!I28</f>
        <v>2031</v>
      </c>
      <c r="J13" s="102">
        <f>FCFF!J28</f>
        <v>2032</v>
      </c>
      <c r="K13" s="183" t="str">
        <f>"Terminal Value "&amp;J13</f>
        <v>Terminal Value 2032</v>
      </c>
      <c r="L13" s="183"/>
    </row>
    <row r="14" spans="1:12" x14ac:dyDescent="0.25">
      <c r="E14" s="63"/>
      <c r="F14" s="63"/>
      <c r="G14" s="63"/>
      <c r="H14" s="63"/>
      <c r="I14" s="63"/>
      <c r="J14" s="63"/>
      <c r="K14" s="63"/>
    </row>
    <row r="15" spans="1:12" x14ac:dyDescent="0.25">
      <c r="B15" t="s">
        <v>261</v>
      </c>
      <c r="E15" s="68">
        <f>FCFF!E49</f>
        <v>11627.965270770988</v>
      </c>
      <c r="F15" s="68">
        <f>FCFF!F49</f>
        <v>12408.018162422306</v>
      </c>
      <c r="G15" s="68">
        <f>FCFF!G49</f>
        <v>13424.833702202282</v>
      </c>
      <c r="H15" s="68">
        <f>FCFF!H49</f>
        <v>14392.857307341841</v>
      </c>
      <c r="I15" s="68">
        <f>FCFF!I49</f>
        <v>14945.14381481439</v>
      </c>
      <c r="J15" s="68">
        <f>FCFF!J49</f>
        <v>15250.407359825287</v>
      </c>
      <c r="L15" s="68">
        <f>E9</f>
        <v>352178.67441068293</v>
      </c>
    </row>
    <row r="16" spans="1:12" x14ac:dyDescent="0.25">
      <c r="B16" t="s">
        <v>262</v>
      </c>
      <c r="E16" s="100">
        <f>1/(1+WACC!$L$42)^1</f>
        <v>0.89999463224613852</v>
      </c>
      <c r="F16" s="100">
        <f>1/(1+WACC!$L$42)^2</f>
        <v>0.80999033807186216</v>
      </c>
      <c r="G16" s="100">
        <f>1/(1+WACC!$L$42)^3</f>
        <v>0.72898695643591105</v>
      </c>
      <c r="H16" s="100">
        <f>1/(1+WACC!$L$42)^4</f>
        <v>0.65608434776976954</v>
      </c>
      <c r="I16" s="100">
        <f>1/(1+WACC!$L$42)^5</f>
        <v>0.59047239129350138</v>
      </c>
      <c r="J16" s="100">
        <f>1/(1+WACC!$L$42)^6</f>
        <v>0.53142198265369278</v>
      </c>
      <c r="L16" s="100">
        <f>J16</f>
        <v>0.53142198265369278</v>
      </c>
    </row>
    <row r="17" spans="1:12" x14ac:dyDescent="0.25">
      <c r="B17" s="87" t="s">
        <v>263</v>
      </c>
      <c r="C17" s="87"/>
      <c r="D17" s="87"/>
      <c r="E17" s="103">
        <f>E15*E16</f>
        <v>10465.106327638407</v>
      </c>
      <c r="F17" s="103">
        <f t="shared" ref="F17:J17" si="0">F15*F16</f>
        <v>10050.374826182249</v>
      </c>
      <c r="G17" s="103">
        <f t="shared" si="0"/>
        <v>9786.5286612266864</v>
      </c>
      <c r="H17" s="103">
        <f t="shared" si="0"/>
        <v>9442.928399030734</v>
      </c>
      <c r="I17" s="103">
        <f t="shared" si="0"/>
        <v>8824.6948065587349</v>
      </c>
      <c r="J17" s="103">
        <f t="shared" si="0"/>
        <v>8104.4017154348221</v>
      </c>
      <c r="K17" s="184"/>
      <c r="L17" s="103">
        <f>L15*L16</f>
        <v>187155.48940367447</v>
      </c>
    </row>
    <row r="20" spans="1:12" x14ac:dyDescent="0.25">
      <c r="A20" t="s">
        <v>94</v>
      </c>
      <c r="B20" s="105" t="s">
        <v>267</v>
      </c>
      <c r="C20" s="105"/>
      <c r="D20" s="105"/>
      <c r="E20" s="105"/>
      <c r="H20" s="189" t="s">
        <v>94</v>
      </c>
      <c r="I20" s="105" t="s">
        <v>266</v>
      </c>
      <c r="J20" s="105"/>
      <c r="K20" s="105"/>
      <c r="L20" s="105"/>
    </row>
    <row r="21" spans="1:12" x14ac:dyDescent="0.25">
      <c r="B21" t="s">
        <v>263</v>
      </c>
      <c r="E21" s="97">
        <f>SUBTOTAL(109,E17:J17)</f>
        <v>56674.034736071641</v>
      </c>
      <c r="I21" t="s">
        <v>264</v>
      </c>
      <c r="L21" s="97">
        <f>SUM(E21:E22)</f>
        <v>243829.52413974609</v>
      </c>
    </row>
    <row r="22" spans="1:12" x14ac:dyDescent="0.25">
      <c r="B22" t="s">
        <v>265</v>
      </c>
      <c r="E22" s="97">
        <f>L17</f>
        <v>187155.48940367447</v>
      </c>
      <c r="I22" t="s">
        <v>268</v>
      </c>
      <c r="L22">
        <f>'Data Sheet'!K59</f>
        <v>99310</v>
      </c>
    </row>
    <row r="23" spans="1:12" x14ac:dyDescent="0.25">
      <c r="B23" s="87" t="s">
        <v>264</v>
      </c>
      <c r="C23" s="87"/>
      <c r="D23" s="87"/>
      <c r="E23" s="99">
        <f>SUM(E21:E22)</f>
        <v>243829.52413974609</v>
      </c>
      <c r="I23" t="s">
        <v>269</v>
      </c>
      <c r="L23">
        <f>'Data Sheet'!K69</f>
        <v>40989</v>
      </c>
    </row>
    <row r="24" spans="1:12" x14ac:dyDescent="0.25">
      <c r="I24" s="87" t="s">
        <v>270</v>
      </c>
      <c r="J24" s="87"/>
      <c r="K24" s="87"/>
      <c r="L24" s="99">
        <f>L21-L22+L23</f>
        <v>185508.52413974609</v>
      </c>
    </row>
    <row r="26" spans="1:12" x14ac:dyDescent="0.25">
      <c r="A26" t="s">
        <v>94</v>
      </c>
      <c r="B26" s="105" t="s">
        <v>271</v>
      </c>
      <c r="C26" s="105"/>
      <c r="D26" s="105"/>
      <c r="E26" s="105"/>
    </row>
    <row r="27" spans="1:12" x14ac:dyDescent="0.25">
      <c r="B27" t="s">
        <v>266</v>
      </c>
      <c r="E27" s="97">
        <f>L24</f>
        <v>185508.52413974609</v>
      </c>
    </row>
    <row r="28" spans="1:12" x14ac:dyDescent="0.25">
      <c r="B28" t="s">
        <v>272</v>
      </c>
      <c r="E28" s="101">
        <f>'Data Sheet'!B6</f>
        <v>244.54539906103287</v>
      </c>
    </row>
    <row r="29" spans="1:12" x14ac:dyDescent="0.25">
      <c r="B29" s="87" t="s">
        <v>273</v>
      </c>
      <c r="C29" s="87"/>
      <c r="D29" s="87"/>
      <c r="E29" s="104">
        <f>E27/E28</f>
        <v>758.58521506449381</v>
      </c>
    </row>
    <row r="38" spans="1:13" ht="18.75" x14ac:dyDescent="0.3">
      <c r="A38" s="41" t="s">
        <v>94</v>
      </c>
      <c r="B38" s="150" t="s">
        <v>283</v>
      </c>
      <c r="C38" s="150"/>
      <c r="D38" s="150"/>
      <c r="E38" s="150"/>
      <c r="F38" s="41"/>
    </row>
    <row r="40" spans="1:13" outlineLevel="1" x14ac:dyDescent="0.25">
      <c r="B40" s="33" t="s">
        <v>280</v>
      </c>
    </row>
    <row r="41" spans="1:13" outlineLevel="1" x14ac:dyDescent="0.25"/>
    <row r="42" spans="1:13" outlineLevel="1" x14ac:dyDescent="0.25">
      <c r="B42" s="146">
        <f>E29</f>
        <v>758.58521506449381</v>
      </c>
      <c r="C42" s="147">
        <v>9.8099999999999993E-2</v>
      </c>
      <c r="D42" s="147">
        <v>0.10059999999999999</v>
      </c>
      <c r="E42" s="147">
        <v>0.1031</v>
      </c>
      <c r="F42" s="147">
        <v>0.1056</v>
      </c>
      <c r="G42" s="147">
        <v>0.1081</v>
      </c>
      <c r="H42" s="147">
        <v>0.1111</v>
      </c>
      <c r="I42" s="147">
        <v>0.11410000000000001</v>
      </c>
      <c r="J42" s="147">
        <v>0.11710000000000001</v>
      </c>
      <c r="K42" s="147">
        <v>0.12010000000000001</v>
      </c>
      <c r="L42" s="147">
        <v>0.12310000000000001</v>
      </c>
      <c r="M42" s="147">
        <v>0.12610000000000002</v>
      </c>
    </row>
    <row r="43" spans="1:13" outlineLevel="1" x14ac:dyDescent="0.25">
      <c r="B43" s="147">
        <v>5.2499999999999991E-2</v>
      </c>
      <c r="C43" s="148">
        <f t="dataTable" ref="C43:M53" dt2D="1" dtr="1" r1="E8" r2="E7"/>
        <v>758.1899675963158</v>
      </c>
      <c r="D43" s="148">
        <v>718.43296285001327</v>
      </c>
      <c r="E43" s="148">
        <v>682.60451588496562</v>
      </c>
      <c r="F43" s="148">
        <v>650.14974565862315</v>
      </c>
      <c r="G43" s="148">
        <v>620.61356987709553</v>
      </c>
      <c r="H43" s="148">
        <v>588.49675894196025</v>
      </c>
      <c r="I43" s="148">
        <v>559.50820881219499</v>
      </c>
      <c r="J43" s="148">
        <v>533.21209367900269</v>
      </c>
      <c r="K43" s="148">
        <v>509.24995326177407</v>
      </c>
      <c r="L43" s="148">
        <v>487.32425537292187</v>
      </c>
      <c r="M43" s="148">
        <v>467.18597850761739</v>
      </c>
    </row>
    <row r="44" spans="1:13" outlineLevel="1" x14ac:dyDescent="0.25">
      <c r="B44" s="147">
        <v>5.4999999999999993E-2</v>
      </c>
      <c r="C44" s="148">
        <v>804.4814673061685</v>
      </c>
      <c r="D44" s="148">
        <v>760.00689104362914</v>
      </c>
      <c r="E44" s="148">
        <v>720.15545160671752</v>
      </c>
      <c r="F44" s="148">
        <v>684.24190144222814</v>
      </c>
      <c r="G44" s="148">
        <v>651.71004150038357</v>
      </c>
      <c r="H44" s="148">
        <v>616.49908721038719</v>
      </c>
      <c r="I44" s="148">
        <v>584.86284909196399</v>
      </c>
      <c r="J44" s="148">
        <v>556.28325233763985</v>
      </c>
      <c r="K44" s="148">
        <v>530.33771980030383</v>
      </c>
      <c r="L44" s="148">
        <v>506.67813726625747</v>
      </c>
      <c r="M44" s="148">
        <v>485.01514397559055</v>
      </c>
    </row>
    <row r="45" spans="1:13" outlineLevel="1" x14ac:dyDescent="0.25">
      <c r="B45" s="147">
        <v>5.7499999999999996E-2</v>
      </c>
      <c r="C45" s="148">
        <v>856.47389062560899</v>
      </c>
      <c r="D45" s="148">
        <v>806.40378074462512</v>
      </c>
      <c r="E45" s="148">
        <v>761.82381449094248</v>
      </c>
      <c r="F45" s="148">
        <v>721.87794036342223</v>
      </c>
      <c r="G45" s="148">
        <v>685.87928699949077</v>
      </c>
      <c r="H45" s="148">
        <v>647.11357296654069</v>
      </c>
      <c r="I45" s="148">
        <v>612.45729858372692</v>
      </c>
      <c r="J45" s="148">
        <v>581.28991088374653</v>
      </c>
      <c r="K45" s="148">
        <v>553.10981273967468</v>
      </c>
      <c r="L45" s="148">
        <v>527.5071625965852</v>
      </c>
      <c r="M45" s="148">
        <v>504.14381129983013</v>
      </c>
    </row>
    <row r="46" spans="1:13" outlineLevel="1" x14ac:dyDescent="0.25">
      <c r="B46" s="147">
        <v>0.06</v>
      </c>
      <c r="C46" s="148">
        <v>915.2894666116423</v>
      </c>
      <c r="D46" s="148">
        <v>858.5145731181575</v>
      </c>
      <c r="E46" s="148">
        <v>808.32609418308186</v>
      </c>
      <c r="F46" s="148">
        <v>763.64073793825571</v>
      </c>
      <c r="G46" s="148">
        <v>723.60042912012648</v>
      </c>
      <c r="H46" s="148">
        <v>680.72360527417686</v>
      </c>
      <c r="I46" s="148">
        <v>642.60206688249139</v>
      </c>
      <c r="J46" s="148">
        <v>608.48629434632471</v>
      </c>
      <c r="K46" s="148">
        <v>577.77642256252079</v>
      </c>
      <c r="L46" s="148">
        <v>549.98666536988662</v>
      </c>
      <c r="M46" s="148">
        <v>524.71942774088052</v>
      </c>
    </row>
    <row r="47" spans="1:13" outlineLevel="1" x14ac:dyDescent="0.25">
      <c r="B47" s="147">
        <v>6.25E-2</v>
      </c>
      <c r="C47" s="148">
        <v>982.36565720245585</v>
      </c>
      <c r="D47" s="148">
        <v>917.46405215488323</v>
      </c>
      <c r="E47" s="148">
        <v>860.55525561070658</v>
      </c>
      <c r="F47" s="148">
        <v>810.24840762153849</v>
      </c>
      <c r="G47" s="148">
        <v>765.45766138556883</v>
      </c>
      <c r="H47" s="148">
        <v>717.79145983568503</v>
      </c>
      <c r="I47" s="148">
        <v>675.66783986136898</v>
      </c>
      <c r="J47" s="148">
        <v>638.1731891149999</v>
      </c>
      <c r="K47" s="148">
        <v>604.58423115471078</v>
      </c>
      <c r="L47" s="148">
        <v>574.32091259643073</v>
      </c>
      <c r="M47" s="148">
        <v>546.91262409081844</v>
      </c>
    </row>
    <row r="48" spans="1:13" outlineLevel="1" x14ac:dyDescent="0.25">
      <c r="B48" s="147">
        <v>6.5000000000000002E-2</v>
      </c>
      <c r="C48" s="148">
        <v>1059.5742028674106</v>
      </c>
      <c r="D48" s="148">
        <v>984.69295240463236</v>
      </c>
      <c r="E48" s="148">
        <v>919.6386376981244</v>
      </c>
      <c r="F48" s="148">
        <v>862.59593810325521</v>
      </c>
      <c r="G48" s="148">
        <v>812.17072105999523</v>
      </c>
      <c r="H48" s="149">
        <v>758.87968907848483</v>
      </c>
      <c r="I48" s="148">
        <v>712.10079949797341</v>
      </c>
      <c r="J48" s="148">
        <v>670.70911409180121</v>
      </c>
      <c r="K48" s="148">
        <v>633.82469025435944</v>
      </c>
      <c r="L48" s="148">
        <v>600.74932911957944</v>
      </c>
      <c r="M48" s="148">
        <v>570.92195762160247</v>
      </c>
    </row>
    <row r="49" spans="2:13" outlineLevel="1" x14ac:dyDescent="0.25">
      <c r="B49" s="147">
        <v>6.7500000000000004E-2</v>
      </c>
      <c r="C49" s="148">
        <v>1149.3985239678152</v>
      </c>
      <c r="D49" s="148">
        <v>1062.0772756528327</v>
      </c>
      <c r="E49" s="148">
        <v>987.02024760680877</v>
      </c>
      <c r="F49" s="148">
        <v>921.81322324136534</v>
      </c>
      <c r="G49" s="148">
        <v>864.63662059580417</v>
      </c>
      <c r="H49" s="148">
        <v>804.67987121610076</v>
      </c>
      <c r="I49" s="148">
        <v>752.44287497541541</v>
      </c>
      <c r="J49" s="148">
        <v>706.52487021545778</v>
      </c>
      <c r="K49" s="148">
        <v>665.84466067526716</v>
      </c>
      <c r="L49" s="148">
        <v>629.55440180488154</v>
      </c>
      <c r="M49" s="148">
        <v>596.97986909869906</v>
      </c>
    </row>
    <row r="50" spans="2:13" outlineLevel="1" x14ac:dyDescent="0.25">
      <c r="B50" s="147">
        <v>7.0000000000000007E-2</v>
      </c>
      <c r="C50" s="148">
        <v>1255.2058203529896</v>
      </c>
      <c r="D50" s="148">
        <v>1152.1060961638116</v>
      </c>
      <c r="E50" s="148">
        <v>1064.5803484382554</v>
      </c>
      <c r="F50" s="148">
        <v>989.34754280898539</v>
      </c>
      <c r="G50" s="148">
        <v>923.9878087846065</v>
      </c>
      <c r="H50" s="148">
        <v>856.05185166729575</v>
      </c>
      <c r="I50" s="148">
        <v>797.35888191288439</v>
      </c>
      <c r="J50" s="148">
        <v>746.14272359215624</v>
      </c>
      <c r="K50" s="148">
        <v>701.06023692660528</v>
      </c>
      <c r="L50" s="148">
        <v>661.07181655094666</v>
      </c>
      <c r="M50" s="148">
        <v>625.36023257910188</v>
      </c>
    </row>
    <row r="51" spans="2:13" outlineLevel="1" x14ac:dyDescent="0.25">
      <c r="B51" s="147">
        <v>7.2500000000000009E-2</v>
      </c>
      <c r="C51" s="148">
        <v>1381.6786043133932</v>
      </c>
      <c r="D51" s="148">
        <v>1258.1542797550353</v>
      </c>
      <c r="E51" s="148">
        <v>1154.8136683598077</v>
      </c>
      <c r="F51" s="148">
        <v>1067.083421223678</v>
      </c>
      <c r="G51" s="148">
        <v>991.67483801116191</v>
      </c>
      <c r="H51" s="148">
        <v>914.07823373133976</v>
      </c>
      <c r="I51" s="148">
        <v>847.67344737649205</v>
      </c>
      <c r="J51" s="148">
        <v>790.20204035189283</v>
      </c>
      <c r="K51" s="148">
        <v>739.9749283303945</v>
      </c>
      <c r="L51" s="148">
        <v>695.70360034306566</v>
      </c>
      <c r="M51" s="148">
        <v>656.38801802596038</v>
      </c>
    </row>
    <row r="52" spans="2:13" outlineLevel="1" x14ac:dyDescent="0.25">
      <c r="B52" s="147">
        <v>7.5000000000000011E-2</v>
      </c>
      <c r="C52" s="148">
        <v>1535.5264497370874</v>
      </c>
      <c r="D52" s="148">
        <v>1384.9149992039197</v>
      </c>
      <c r="E52" s="148">
        <v>1261.1027391570808</v>
      </c>
      <c r="F52" s="148">
        <v>1157.5212405558038</v>
      </c>
      <c r="G52" s="148">
        <v>1069.5864940091003</v>
      </c>
      <c r="H52" s="148">
        <v>980.14151081810451</v>
      </c>
      <c r="I52" s="148">
        <v>904.42210049529206</v>
      </c>
      <c r="J52" s="148">
        <v>839.49405506409187</v>
      </c>
      <c r="K52" s="148">
        <v>783.20388707384973</v>
      </c>
      <c r="L52" s="148">
        <v>733.9353616603529</v>
      </c>
      <c r="M52" s="148">
        <v>690.45179030714928</v>
      </c>
    </row>
    <row r="53" spans="2:13" outlineLevel="1" x14ac:dyDescent="0.25">
      <c r="B53" s="147">
        <v>7.7500000000000013E-2</v>
      </c>
      <c r="C53" s="148">
        <v>1726.7160052150773</v>
      </c>
      <c r="D53" s="148">
        <v>1539.1131038149008</v>
      </c>
      <c r="E53" s="148">
        <v>1388.1513940944467</v>
      </c>
      <c r="F53" s="148">
        <v>1264.0511985591268</v>
      </c>
      <c r="G53" s="148">
        <v>1160.2288127518</v>
      </c>
      <c r="H53" s="148">
        <v>1056.0356327094473</v>
      </c>
      <c r="I53" s="148">
        <v>968.92330185436572</v>
      </c>
      <c r="J53" s="148">
        <v>895.00980900762966</v>
      </c>
      <c r="K53" s="148">
        <v>831.50666726606755</v>
      </c>
      <c r="L53" s="148">
        <v>776.35920206944832</v>
      </c>
      <c r="M53" s="148">
        <v>728.02006590944848</v>
      </c>
    </row>
    <row r="54" spans="2:13" outlineLevel="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E5A14-A90C-4FDB-AF07-7F4AC6D3DECC}">
  <dimension ref="A1:K49"/>
  <sheetViews>
    <sheetView showGridLines="0" tabSelected="1" topLeftCell="A3" zoomScale="85" zoomScaleNormal="85" workbookViewId="0">
      <selection activeCell="G20" sqref="G20"/>
    </sheetView>
  </sheetViews>
  <sheetFormatPr defaultRowHeight="15" outlineLevelRow="1" x14ac:dyDescent="0.25"/>
  <cols>
    <col min="1" max="1" width="1.85546875" customWidth="1"/>
    <col min="2" max="2" width="11.140625" customWidth="1"/>
    <col min="3" max="3" width="30.5703125" customWidth="1"/>
    <col min="6" max="6" width="10.42578125" bestFit="1" customWidth="1"/>
  </cols>
  <sheetData>
    <row r="1" spans="1:11" ht="3" customHeight="1" x14ac:dyDescent="0.25"/>
    <row r="2" spans="1:11" ht="26.25" customHeight="1" x14ac:dyDescent="0.35">
      <c r="B2" s="126" t="s">
        <v>255</v>
      </c>
      <c r="C2" s="126"/>
      <c r="D2" s="126"/>
      <c r="E2" s="126"/>
    </row>
    <row r="3" spans="1:11" ht="14.25" customHeight="1" x14ac:dyDescent="0.35">
      <c r="B3" s="126"/>
      <c r="C3" s="126"/>
      <c r="D3" s="126"/>
      <c r="E3" s="126"/>
    </row>
    <row r="5" spans="1:11" ht="15.75" x14ac:dyDescent="0.25">
      <c r="A5" s="85" t="s">
        <v>94</v>
      </c>
      <c r="B5" s="84" t="s">
        <v>190</v>
      </c>
      <c r="C5" s="85"/>
    </row>
    <row r="6" spans="1:11" outlineLevel="1" x14ac:dyDescent="0.25"/>
    <row r="7" spans="1:11" outlineLevel="1" x14ac:dyDescent="0.25">
      <c r="B7" t="s">
        <v>191</v>
      </c>
    </row>
    <row r="8" spans="1:11" outlineLevel="1" x14ac:dyDescent="0.25">
      <c r="B8" t="s">
        <v>194</v>
      </c>
    </row>
    <row r="9" spans="1:11" outlineLevel="1" x14ac:dyDescent="0.25">
      <c r="B9" t="s">
        <v>193</v>
      </c>
    </row>
    <row r="10" spans="1:11" outlineLevel="1" x14ac:dyDescent="0.25">
      <c r="B10" t="s">
        <v>192</v>
      </c>
    </row>
    <row r="13" spans="1:11" ht="15.75" x14ac:dyDescent="0.25">
      <c r="A13" s="84" t="s">
        <v>94</v>
      </c>
      <c r="B13" s="84" t="s">
        <v>195</v>
      </c>
      <c r="C13" s="84"/>
      <c r="D13" s="84"/>
    </row>
    <row r="15" spans="1:11" outlineLevel="1" x14ac:dyDescent="0.25">
      <c r="B15" s="110" t="s">
        <v>209</v>
      </c>
      <c r="C15" s="110"/>
      <c r="D15" s="110"/>
      <c r="E15" s="110"/>
      <c r="F15" s="112" t="s">
        <v>205</v>
      </c>
      <c r="G15" s="110" t="s">
        <v>204</v>
      </c>
      <c r="H15" s="109"/>
      <c r="I15" s="109"/>
      <c r="J15" s="109"/>
      <c r="K15" s="109"/>
    </row>
    <row r="16" spans="1:11" outlineLevel="1" x14ac:dyDescent="0.25">
      <c r="B16" t="s">
        <v>198</v>
      </c>
      <c r="F16" s="124">
        <v>46176</v>
      </c>
    </row>
    <row r="17" spans="1:10" outlineLevel="1" x14ac:dyDescent="0.25">
      <c r="B17" t="s">
        <v>199</v>
      </c>
      <c r="F17" s="63"/>
    </row>
    <row r="18" spans="1:10" outlineLevel="1" x14ac:dyDescent="0.25">
      <c r="B18" t="s">
        <v>200</v>
      </c>
      <c r="F18" s="86">
        <f>Growth!D39</f>
        <v>9.5593751019210069E-2</v>
      </c>
      <c r="G18" t="s">
        <v>228</v>
      </c>
    </row>
    <row r="19" spans="1:10" outlineLevel="1" x14ac:dyDescent="0.25">
      <c r="B19" t="s">
        <v>201</v>
      </c>
      <c r="F19" s="66">
        <v>0.01</v>
      </c>
    </row>
    <row r="20" spans="1:10" outlineLevel="1" x14ac:dyDescent="0.25">
      <c r="B20" t="s">
        <v>202</v>
      </c>
      <c r="F20" s="66">
        <v>6.5000000000000002E-2</v>
      </c>
      <c r="G20" t="s">
        <v>389</v>
      </c>
    </row>
    <row r="21" spans="1:10" outlineLevel="1" x14ac:dyDescent="0.25">
      <c r="B21" t="s">
        <v>203</v>
      </c>
      <c r="F21" s="66">
        <v>7.0000000000000007E-2</v>
      </c>
      <c r="G21" t="s">
        <v>206</v>
      </c>
    </row>
    <row r="22" spans="1:10" outlineLevel="1" x14ac:dyDescent="0.25">
      <c r="B22" t="s">
        <v>196</v>
      </c>
      <c r="F22" s="188">
        <f>12%-F21</f>
        <v>4.9999999999999989E-2</v>
      </c>
      <c r="G22" t="s">
        <v>229</v>
      </c>
    </row>
    <row r="23" spans="1:10" outlineLevel="1" x14ac:dyDescent="0.25">
      <c r="B23" t="s">
        <v>197</v>
      </c>
      <c r="F23" s="66">
        <v>0.25</v>
      </c>
      <c r="G23" t="s">
        <v>254</v>
      </c>
    </row>
    <row r="26" spans="1:10" ht="15.75" x14ac:dyDescent="0.25">
      <c r="A26" s="84" t="s">
        <v>94</v>
      </c>
      <c r="B26" s="84" t="s">
        <v>230</v>
      </c>
      <c r="C26" s="84"/>
      <c r="D26" s="84"/>
      <c r="E26" s="84"/>
    </row>
    <row r="28" spans="1:10" outlineLevel="1" x14ac:dyDescent="0.25">
      <c r="B28" s="110" t="s">
        <v>209</v>
      </c>
      <c r="C28" s="110"/>
      <c r="D28" s="110"/>
      <c r="E28" s="111">
        <v>2027</v>
      </c>
      <c r="F28" s="111">
        <f>E28+1</f>
        <v>2028</v>
      </c>
      <c r="G28" s="111">
        <f t="shared" ref="G28:J28" si="0">F28+1</f>
        <v>2029</v>
      </c>
      <c r="H28" s="111">
        <f t="shared" si="0"/>
        <v>2030</v>
      </c>
      <c r="I28" s="111">
        <f t="shared" si="0"/>
        <v>2031</v>
      </c>
      <c r="J28" s="111">
        <f t="shared" si="0"/>
        <v>2032</v>
      </c>
    </row>
    <row r="29" spans="1:10" outlineLevel="1" x14ac:dyDescent="0.25">
      <c r="B29" t="s">
        <v>231</v>
      </c>
      <c r="E29" s="59">
        <f t="array" ref="E29:J29">CHOOSE(E31,E32:J32,E33:J33,E34:J34)</f>
        <v>9.5593751019210069E-2</v>
      </c>
      <c r="F29" s="59">
        <v>8.5593751019210074E-2</v>
      </c>
      <c r="G29" s="59">
        <v>7.5593751019210079E-2</v>
      </c>
      <c r="H29" s="59">
        <v>6.5593751019210084E-2</v>
      </c>
      <c r="I29" s="59">
        <v>5.5593751019210082E-2</v>
      </c>
      <c r="J29" s="59">
        <v>4.559375101921008E-2</v>
      </c>
    </row>
    <row r="30" spans="1:10" outlineLevel="1" x14ac:dyDescent="0.25">
      <c r="B30" t="s">
        <v>232</v>
      </c>
      <c r="E30">
        <f>Historical!L7*(1+E29)</f>
        <v>203199.77300153289</v>
      </c>
      <c r="F30">
        <f>E30*(1+F29)</f>
        <v>220592.40377898613</v>
      </c>
      <c r="G30">
        <f t="shared" ref="G30:J30" si="1">F30*(1+G29)</f>
        <v>237267.81102698389</v>
      </c>
      <c r="H30">
        <f t="shared" si="1"/>
        <v>252831.0967483609</v>
      </c>
      <c r="I30">
        <f t="shared" si="1"/>
        <v>266886.9257909031</v>
      </c>
      <c r="J30">
        <f t="shared" si="1"/>
        <v>279055.30183569598</v>
      </c>
    </row>
    <row r="31" spans="1:10" outlineLevel="1" x14ac:dyDescent="0.25">
      <c r="B31" s="33" t="s">
        <v>233</v>
      </c>
      <c r="D31" t="s">
        <v>234</v>
      </c>
      <c r="E31" s="95">
        <f>MATCH(D31,B32:B34,0)</f>
        <v>1</v>
      </c>
    </row>
    <row r="32" spans="1:10" outlineLevel="1" x14ac:dyDescent="0.25">
      <c r="B32" s="92" t="s">
        <v>234</v>
      </c>
      <c r="C32" s="93"/>
      <c r="D32" s="93"/>
      <c r="E32" s="94">
        <f>F18</f>
        <v>9.5593751019210069E-2</v>
      </c>
      <c r="F32" s="94">
        <f>E32-tap_rate</f>
        <v>8.5593751019210074E-2</v>
      </c>
      <c r="G32" s="94">
        <f>F32-tap_rate</f>
        <v>7.5593751019210079E-2</v>
      </c>
      <c r="H32" s="94">
        <f>G32-tap_rate</f>
        <v>6.5593751019210084E-2</v>
      </c>
      <c r="I32" s="94">
        <f>H32-tap_rate</f>
        <v>5.5593751019210082E-2</v>
      </c>
      <c r="J32" s="94">
        <f>I32-tap_rate</f>
        <v>4.559375101921008E-2</v>
      </c>
    </row>
    <row r="33" spans="1:10" outlineLevel="1" x14ac:dyDescent="0.25">
      <c r="B33" s="92" t="s">
        <v>235</v>
      </c>
      <c r="C33" s="93"/>
      <c r="D33" s="93"/>
      <c r="E33" s="94">
        <f t="shared" ref="E33:J33" si="2">E32+tap_rate</f>
        <v>0.10559375101921006</v>
      </c>
      <c r="F33" s="94">
        <f t="shared" si="2"/>
        <v>9.5593751019210069E-2</v>
      </c>
      <c r="G33" s="94">
        <f t="shared" si="2"/>
        <v>8.5593751019210074E-2</v>
      </c>
      <c r="H33" s="94">
        <f t="shared" si="2"/>
        <v>7.5593751019210079E-2</v>
      </c>
      <c r="I33" s="94">
        <f t="shared" si="2"/>
        <v>6.5593751019210084E-2</v>
      </c>
      <c r="J33" s="94">
        <f t="shared" si="2"/>
        <v>5.5593751019210082E-2</v>
      </c>
    </row>
    <row r="34" spans="1:10" outlineLevel="1" x14ac:dyDescent="0.25">
      <c r="B34" s="92" t="s">
        <v>236</v>
      </c>
      <c r="C34" s="93"/>
      <c r="D34" s="93"/>
      <c r="E34" s="94">
        <f t="shared" ref="E34:J34" si="3">E32-tap_rate</f>
        <v>8.5593751019210074E-2</v>
      </c>
      <c r="F34" s="94">
        <f t="shared" si="3"/>
        <v>7.5593751019210079E-2</v>
      </c>
      <c r="G34" s="94">
        <f t="shared" si="3"/>
        <v>6.5593751019210084E-2</v>
      </c>
      <c r="H34" s="94">
        <f t="shared" si="3"/>
        <v>5.5593751019210082E-2</v>
      </c>
      <c r="I34" s="94">
        <f t="shared" si="3"/>
        <v>4.559375101921008E-2</v>
      </c>
      <c r="J34" s="94">
        <f t="shared" si="3"/>
        <v>3.5593751019210078E-2</v>
      </c>
    </row>
    <row r="37" spans="1:10" ht="15.75" x14ac:dyDescent="0.25">
      <c r="A37" t="s">
        <v>94</v>
      </c>
      <c r="B37" s="84" t="s">
        <v>237</v>
      </c>
    </row>
    <row r="39" spans="1:10" outlineLevel="1" x14ac:dyDescent="0.25">
      <c r="B39" s="110" t="s">
        <v>238</v>
      </c>
      <c r="C39" s="110"/>
      <c r="D39" s="110"/>
      <c r="E39" s="111">
        <f>E28</f>
        <v>2027</v>
      </c>
      <c r="F39" s="111">
        <f t="shared" ref="F39:J39" si="4">F28</f>
        <v>2028</v>
      </c>
      <c r="G39" s="111">
        <f t="shared" si="4"/>
        <v>2029</v>
      </c>
      <c r="H39" s="111">
        <f t="shared" si="4"/>
        <v>2030</v>
      </c>
      <c r="I39" s="111">
        <f t="shared" si="4"/>
        <v>2031</v>
      </c>
      <c r="J39" s="111">
        <f t="shared" si="4"/>
        <v>2032</v>
      </c>
    </row>
    <row r="40" spans="1:10" outlineLevel="1" x14ac:dyDescent="0.25">
      <c r="B40" t="s">
        <v>239</v>
      </c>
      <c r="E40">
        <f>E30</f>
        <v>203199.77300153289</v>
      </c>
      <c r="F40">
        <f t="shared" ref="F40:J40" si="5">F30</f>
        <v>220592.40377898613</v>
      </c>
      <c r="G40">
        <f t="shared" si="5"/>
        <v>237267.81102698389</v>
      </c>
      <c r="H40">
        <f t="shared" si="5"/>
        <v>252831.0967483609</v>
      </c>
      <c r="I40">
        <f t="shared" si="5"/>
        <v>266886.9257909031</v>
      </c>
      <c r="J40">
        <f t="shared" si="5"/>
        <v>279055.30183569598</v>
      </c>
    </row>
    <row r="41" spans="1:10" outlineLevel="1" x14ac:dyDescent="0.25">
      <c r="B41" t="s">
        <v>129</v>
      </c>
      <c r="E41" s="90">
        <f>Historical!M20</f>
        <v>0.14979781096673317</v>
      </c>
      <c r="F41" s="90">
        <f>E41</f>
        <v>0.14979781096673317</v>
      </c>
      <c r="G41" s="90">
        <f t="shared" ref="G41:J41" si="6">F41</f>
        <v>0.14979781096673317</v>
      </c>
      <c r="H41" s="90">
        <f t="shared" si="6"/>
        <v>0.14979781096673317</v>
      </c>
      <c r="I41" s="90">
        <f t="shared" si="6"/>
        <v>0.14979781096673317</v>
      </c>
      <c r="J41" s="90">
        <f t="shared" si="6"/>
        <v>0.14979781096673317</v>
      </c>
    </row>
    <row r="42" spans="1:10" outlineLevel="1" x14ac:dyDescent="0.25">
      <c r="B42" t="s">
        <v>211</v>
      </c>
      <c r="E42">
        <f>E40*E41</f>
        <v>30438.881184566715</v>
      </c>
      <c r="F42">
        <f t="shared" ref="F42:J42" si="7">F40*F41</f>
        <v>33044.25920198184</v>
      </c>
      <c r="G42">
        <f t="shared" si="7"/>
        <v>35542.198704710703</v>
      </c>
      <c r="H42">
        <f t="shared" si="7"/>
        <v>37873.544837222791</v>
      </c>
      <c r="I42">
        <f t="shared" si="7"/>
        <v>39979.077259118247</v>
      </c>
      <c r="J42">
        <f t="shared" si="7"/>
        <v>41801.873353648254</v>
      </c>
    </row>
    <row r="43" spans="1:10" outlineLevel="1" x14ac:dyDescent="0.25">
      <c r="B43" t="s">
        <v>240</v>
      </c>
      <c r="E43">
        <f>FCFF!E40*(AVERAGE(Historical!C26:M26))</f>
        <v>10425.280460709022</v>
      </c>
      <c r="F43">
        <f>FCFF!F40*(AVERAGE(Historical!D26:N26))</f>
        <v>11088.630326721348</v>
      </c>
      <c r="G43">
        <f>FCFF!G40*(AVERAGE(Historical!E26:O26))</f>
        <v>12010.749505079018</v>
      </c>
      <c r="H43">
        <f>FCFF!H40*(AVERAGE(Historical!F26:P26))</f>
        <v>12891.608439322157</v>
      </c>
      <c r="I43">
        <f>FCFF!I40*(AVERAGE(Historical!G26:Q26))</f>
        <v>13344.587434277608</v>
      </c>
      <c r="J43">
        <f>FCFF!J40*(AVERAGE(Historical!H26:R26))</f>
        <v>13552.826817655707</v>
      </c>
    </row>
    <row r="44" spans="1:10" outlineLevel="1" x14ac:dyDescent="0.25">
      <c r="B44" t="s">
        <v>210</v>
      </c>
      <c r="E44">
        <f>E42-E43</f>
        <v>20013.600723857693</v>
      </c>
      <c r="F44">
        <f t="shared" ref="F44:J44" si="8">F42-F43</f>
        <v>21955.628875260492</v>
      </c>
      <c r="G44">
        <f t="shared" si="8"/>
        <v>23531.449199631686</v>
      </c>
      <c r="H44">
        <f t="shared" si="8"/>
        <v>24981.936397900634</v>
      </c>
      <c r="I44">
        <f t="shared" si="8"/>
        <v>26634.489824840639</v>
      </c>
      <c r="J44">
        <f t="shared" si="8"/>
        <v>28249.046535992547</v>
      </c>
    </row>
    <row r="45" spans="1:10" outlineLevel="1" x14ac:dyDescent="0.25">
      <c r="B45" t="s">
        <v>241</v>
      </c>
      <c r="E45">
        <f t="shared" ref="E45:J45" si="9">E44*tax_rate</f>
        <v>5003.4001809644233</v>
      </c>
      <c r="F45">
        <f t="shared" si="9"/>
        <v>5488.9072188151231</v>
      </c>
      <c r="G45">
        <f t="shared" si="9"/>
        <v>5882.8622999079216</v>
      </c>
      <c r="H45">
        <f t="shared" si="9"/>
        <v>6245.4840994751585</v>
      </c>
      <c r="I45">
        <f t="shared" si="9"/>
        <v>6658.6224562101597</v>
      </c>
      <c r="J45">
        <f t="shared" si="9"/>
        <v>7062.2616339981369</v>
      </c>
    </row>
    <row r="46" spans="1:10" outlineLevel="1" x14ac:dyDescent="0.25">
      <c r="B46" t="s">
        <v>242</v>
      </c>
      <c r="E46">
        <f>E44-E45</f>
        <v>15010.20054289327</v>
      </c>
      <c r="F46">
        <f t="shared" ref="F46:J46" si="10">F44-F45</f>
        <v>16466.72165644537</v>
      </c>
      <c r="G46">
        <f t="shared" si="10"/>
        <v>17648.586899723763</v>
      </c>
      <c r="H46">
        <f t="shared" si="10"/>
        <v>18736.452298425476</v>
      </c>
      <c r="I46">
        <f t="shared" si="10"/>
        <v>19975.867368630479</v>
      </c>
      <c r="J46">
        <f t="shared" si="10"/>
        <v>21186.784901994411</v>
      </c>
    </row>
    <row r="47" spans="1:10" outlineLevel="1" x14ac:dyDescent="0.25">
      <c r="B47" t="s">
        <v>243</v>
      </c>
      <c r="E47">
        <f>E43</f>
        <v>10425.280460709022</v>
      </c>
      <c r="F47">
        <f t="shared" ref="F47:J47" si="11">F43</f>
        <v>11088.630326721348</v>
      </c>
      <c r="G47">
        <f t="shared" si="11"/>
        <v>12010.749505079018</v>
      </c>
      <c r="H47">
        <f t="shared" si="11"/>
        <v>12891.608439322157</v>
      </c>
      <c r="I47">
        <f t="shared" si="11"/>
        <v>13344.587434277608</v>
      </c>
      <c r="J47">
        <f t="shared" si="11"/>
        <v>13552.826817655707</v>
      </c>
    </row>
    <row r="48" spans="1:10" outlineLevel="1" x14ac:dyDescent="0.25">
      <c r="B48" t="s">
        <v>253</v>
      </c>
      <c r="E48">
        <f>E46*Growth!$D$33</f>
        <v>13807.515732831302</v>
      </c>
      <c r="F48">
        <f>F46*Growth!$D$33</f>
        <v>15147.333820744412</v>
      </c>
      <c r="G48">
        <f>G46*Growth!$D$33</f>
        <v>16234.502702600497</v>
      </c>
      <c r="H48">
        <f>H46*Growth!$D$33</f>
        <v>17235.203430405792</v>
      </c>
      <c r="I48">
        <f>I46*Growth!$D$33</f>
        <v>18375.310988093701</v>
      </c>
      <c r="J48">
        <f>J46*Growth!$D$33</f>
        <v>19489.204359824827</v>
      </c>
    </row>
    <row r="49" spans="2:10" outlineLevel="1" x14ac:dyDescent="0.25">
      <c r="B49" s="87" t="s">
        <v>244</v>
      </c>
      <c r="C49" s="87"/>
      <c r="D49" s="87"/>
      <c r="E49" s="99">
        <f>E46+E47-E48</f>
        <v>11627.965270770988</v>
      </c>
      <c r="F49" s="87">
        <f t="shared" ref="F49:J49" si="12">F46+F47-F48</f>
        <v>12408.018162422306</v>
      </c>
      <c r="G49" s="87">
        <f t="shared" si="12"/>
        <v>13424.833702202282</v>
      </c>
      <c r="H49" s="87">
        <f t="shared" si="12"/>
        <v>14392.857307341841</v>
      </c>
      <c r="I49" s="87">
        <f t="shared" si="12"/>
        <v>14945.14381481439</v>
      </c>
      <c r="J49" s="87">
        <f t="shared" si="12"/>
        <v>15250.407359825287</v>
      </c>
    </row>
  </sheetData>
  <dataValidations count="1">
    <dataValidation type="list" allowBlank="1" showInputMessage="1" showErrorMessage="1" sqref="D31" xr:uid="{3AE36A42-7EEE-4836-B668-ACFD2396BA65}">
      <formula1>$B$32:$B$34</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90D01-71B4-4C74-A8B0-E7AD0514A67C}">
  <dimension ref="A1:L39"/>
  <sheetViews>
    <sheetView showGridLines="0" workbookViewId="0">
      <pane xSplit="1" ySplit="2" topLeftCell="B15" activePane="bottomRight" state="frozen"/>
      <selection pane="topRight" activeCell="B1" sqref="B1"/>
      <selection pane="bottomLeft" activeCell="A3" sqref="A3"/>
      <selection pane="bottomRight" activeCell="G12" sqref="G12"/>
    </sheetView>
  </sheetViews>
  <sheetFormatPr defaultRowHeight="15" outlineLevelRow="2" x14ac:dyDescent="0.25"/>
  <cols>
    <col min="1" max="1" width="1.85546875" customWidth="1"/>
    <col min="2" max="2" width="27.28515625" customWidth="1"/>
    <col min="3" max="3" width="12.7109375" customWidth="1"/>
    <col min="4" max="4" width="15.28515625" bestFit="1" customWidth="1"/>
    <col min="5" max="12" width="12.7109375" customWidth="1"/>
  </cols>
  <sheetData>
    <row r="1" spans="1:12" ht="3" customHeight="1" x14ac:dyDescent="0.25"/>
    <row r="2" spans="1:12" ht="23.25" x14ac:dyDescent="0.35">
      <c r="A2" s="125"/>
      <c r="B2" s="126" t="s">
        <v>207</v>
      </c>
      <c r="C2" s="126"/>
      <c r="D2" s="126"/>
      <c r="E2" s="126"/>
    </row>
    <row r="3" spans="1:12" x14ac:dyDescent="0.25">
      <c r="B3" t="s">
        <v>298</v>
      </c>
    </row>
    <row r="4" spans="1:12" x14ac:dyDescent="0.25">
      <c r="A4" t="s">
        <v>94</v>
      </c>
      <c r="B4" s="33" t="s">
        <v>218</v>
      </c>
    </row>
    <row r="5" spans="1:12" outlineLevel="2" x14ac:dyDescent="0.25">
      <c r="B5" s="120" t="s">
        <v>209</v>
      </c>
      <c r="C5" s="120">
        <f>'Data Sheet'!B16</f>
        <v>42825</v>
      </c>
      <c r="D5" s="120">
        <f>'Data Sheet'!C16</f>
        <v>43190</v>
      </c>
      <c r="E5" s="120">
        <f>'Data Sheet'!D16</f>
        <v>43555</v>
      </c>
      <c r="F5" s="120">
        <f>'Data Sheet'!E16</f>
        <v>43921</v>
      </c>
      <c r="G5" s="120">
        <f>'Data Sheet'!F16</f>
        <v>44286</v>
      </c>
      <c r="H5" s="120">
        <f>'Data Sheet'!G16</f>
        <v>44651</v>
      </c>
      <c r="I5" s="120">
        <f>'Data Sheet'!H16</f>
        <v>45016</v>
      </c>
      <c r="J5" s="120">
        <f>'Data Sheet'!I16</f>
        <v>45382</v>
      </c>
      <c r="K5" s="120">
        <f>'Data Sheet'!J16</f>
        <v>45747</v>
      </c>
      <c r="L5" s="120">
        <f>'Data Sheet'!K16</f>
        <v>46112</v>
      </c>
    </row>
    <row r="6" spans="1:12" outlineLevel="2" x14ac:dyDescent="0.25"/>
    <row r="7" spans="1:12" outlineLevel="2" x14ac:dyDescent="0.25">
      <c r="B7" t="s">
        <v>210</v>
      </c>
      <c r="C7" s="43">
        <f>IFERROR(Historical!C19-Historical!C25,0)</f>
        <v>8878</v>
      </c>
      <c r="D7" s="43">
        <f>IFERROR(Historical!D19-Historical!D25,0)</f>
        <v>11529</v>
      </c>
      <c r="E7" s="43">
        <f>IFERROR(Historical!E19-Historical!E25,0)</f>
        <v>14889</v>
      </c>
      <c r="F7" s="43">
        <f>IFERROR(Historical!F19-Historical!F25,0)</f>
        <v>7567</v>
      </c>
      <c r="G7" s="43">
        <f>IFERROR(Historical!G19-Historical!G25,0)</f>
        <v>15499</v>
      </c>
      <c r="H7" s="43">
        <f>IFERROR(Historical!H19-Historical!H25,0)</f>
        <v>33113</v>
      </c>
      <c r="I7" s="43">
        <f>IFERROR(Historical!I19-Historical!I25,0)</f>
        <v>10996</v>
      </c>
      <c r="J7" s="43">
        <f>IFERROR(Historical!J19-Historical!J25,0)</f>
        <v>19985</v>
      </c>
      <c r="K7" s="43">
        <f>IFERROR(Historical!K19-Historical!K25,0)</f>
        <v>13416</v>
      </c>
      <c r="L7" s="43">
        <f>IFERROR(Historical!L19-Historical!L25,0)</f>
        <v>19745</v>
      </c>
    </row>
    <row r="8" spans="1:12" outlineLevel="2" x14ac:dyDescent="0.25">
      <c r="B8" t="s">
        <v>13</v>
      </c>
      <c r="C8" s="43">
        <f>Historical!C31</f>
        <v>1674</v>
      </c>
      <c r="D8" s="43">
        <f>Historical!D31</f>
        <v>1538</v>
      </c>
      <c r="E8" s="43">
        <f>Historical!E31</f>
        <v>3644</v>
      </c>
      <c r="F8" s="43">
        <f>Historical!F31</f>
        <v>-906</v>
      </c>
      <c r="G8" s="43">
        <f>Historical!G31</f>
        <v>4142</v>
      </c>
      <c r="H8" s="43">
        <f>Historical!H31</f>
        <v>8807</v>
      </c>
      <c r="I8" s="43">
        <f>Historical!I31</f>
        <v>1516</v>
      </c>
      <c r="J8" s="43">
        <f>Historical!J31</f>
        <v>4407</v>
      </c>
      <c r="K8" s="43">
        <f>Historical!K31</f>
        <v>1586</v>
      </c>
      <c r="L8" s="43">
        <f>Historical!L31</f>
        <v>3742</v>
      </c>
    </row>
    <row r="9" spans="1:12" outlineLevel="2" x14ac:dyDescent="0.25">
      <c r="B9" s="87" t="s">
        <v>213</v>
      </c>
      <c r="C9" s="88">
        <f>C7-C8</f>
        <v>7204</v>
      </c>
      <c r="D9" s="88">
        <f t="shared" ref="D9:L9" si="0">D7-D8</f>
        <v>9991</v>
      </c>
      <c r="E9" s="88">
        <f t="shared" si="0"/>
        <v>11245</v>
      </c>
      <c r="F9" s="88">
        <f t="shared" si="0"/>
        <v>8473</v>
      </c>
      <c r="G9" s="88">
        <f t="shared" si="0"/>
        <v>11357</v>
      </c>
      <c r="H9" s="88">
        <f t="shared" si="0"/>
        <v>24306</v>
      </c>
      <c r="I9" s="88">
        <f t="shared" si="0"/>
        <v>9480</v>
      </c>
      <c r="J9" s="88">
        <f t="shared" si="0"/>
        <v>15578</v>
      </c>
      <c r="K9" s="88">
        <f t="shared" si="0"/>
        <v>11830</v>
      </c>
      <c r="L9" s="88">
        <f t="shared" si="0"/>
        <v>16003</v>
      </c>
    </row>
    <row r="10" spans="1:12" outlineLevel="2" x14ac:dyDescent="0.25">
      <c r="B10" s="8"/>
      <c r="C10" s="49"/>
      <c r="D10" s="49"/>
      <c r="E10" s="49"/>
      <c r="F10" s="49"/>
      <c r="G10" s="49"/>
      <c r="H10" s="49"/>
      <c r="I10" s="49"/>
      <c r="J10" s="49"/>
      <c r="K10" s="49"/>
      <c r="L10" s="49"/>
    </row>
    <row r="11" spans="1:12" outlineLevel="2" x14ac:dyDescent="0.25"/>
    <row r="12" spans="1:12" outlineLevel="2" x14ac:dyDescent="0.25">
      <c r="B12" s="121" t="s">
        <v>209</v>
      </c>
      <c r="C12" s="121">
        <f t="shared" ref="C12:L12" si="1">C5</f>
        <v>42825</v>
      </c>
      <c r="D12" s="121">
        <f t="shared" si="1"/>
        <v>43190</v>
      </c>
      <c r="E12" s="121">
        <f t="shared" si="1"/>
        <v>43555</v>
      </c>
      <c r="F12" s="121">
        <f t="shared" si="1"/>
        <v>43921</v>
      </c>
      <c r="G12" s="121">
        <f t="shared" si="1"/>
        <v>44286</v>
      </c>
      <c r="H12" s="121">
        <f t="shared" si="1"/>
        <v>44651</v>
      </c>
      <c r="I12" s="121">
        <f t="shared" si="1"/>
        <v>45016</v>
      </c>
      <c r="J12" s="121">
        <f t="shared" si="1"/>
        <v>45382</v>
      </c>
      <c r="K12" s="121">
        <f t="shared" si="1"/>
        <v>45747</v>
      </c>
      <c r="L12" s="121">
        <f t="shared" si="1"/>
        <v>46112</v>
      </c>
    </row>
    <row r="13" spans="1:12" outlineLevel="2" x14ac:dyDescent="0.25"/>
    <row r="14" spans="1:12" outlineLevel="2" x14ac:dyDescent="0.25">
      <c r="B14" t="s">
        <v>214</v>
      </c>
      <c r="C14">
        <f>SUM(Historical!C52:C53)</f>
        <v>22647</v>
      </c>
      <c r="D14">
        <f>SUM(Historical!D52:D53)</f>
        <v>27998</v>
      </c>
      <c r="E14">
        <f>SUM(Historical!E52:E53)</f>
        <v>34795</v>
      </c>
      <c r="F14">
        <f>SUM(Historical!F52:F53)</f>
        <v>36599</v>
      </c>
      <c r="G14">
        <f>SUM(Historical!G52:G53)</f>
        <v>45610</v>
      </c>
      <c r="H14">
        <f>SUM(Historical!H52:H53)</f>
        <v>67297</v>
      </c>
      <c r="I14">
        <f>SUM(Historical!I52:I53)</f>
        <v>65695</v>
      </c>
      <c r="J14">
        <f>SUM(Historical!J52:J53)</f>
        <v>77669</v>
      </c>
      <c r="K14">
        <f>SUM(Historical!K52:K53)</f>
        <v>79496</v>
      </c>
      <c r="L14">
        <f>SUM(Historical!L52:L53)</f>
        <v>100053</v>
      </c>
    </row>
    <row r="15" spans="1:12" outlineLevel="2" x14ac:dyDescent="0.25">
      <c r="B15" t="s">
        <v>215</v>
      </c>
      <c r="C15">
        <f>'Data Sheet'!B59</f>
        <v>43334</v>
      </c>
      <c r="D15">
        <f>'Data Sheet'!C59</f>
        <v>39393</v>
      </c>
      <c r="E15">
        <f>'Data Sheet'!D59</f>
        <v>47396</v>
      </c>
      <c r="F15">
        <f>'Data Sheet'!E59</f>
        <v>61423</v>
      </c>
      <c r="G15">
        <f>'Data Sheet'!F59</f>
        <v>66727</v>
      </c>
      <c r="H15">
        <f>'Data Sheet'!G59</f>
        <v>72237</v>
      </c>
      <c r="I15">
        <f>'Data Sheet'!H59</f>
        <v>80853</v>
      </c>
      <c r="J15">
        <f>'Data Sheet'!I59</f>
        <v>87984</v>
      </c>
      <c r="K15">
        <f>'Data Sheet'!J59</f>
        <v>98752</v>
      </c>
      <c r="L15">
        <f>'Data Sheet'!K59</f>
        <v>99310</v>
      </c>
    </row>
    <row r="16" spans="1:12" outlineLevel="2" x14ac:dyDescent="0.25">
      <c r="B16" t="s">
        <v>216</v>
      </c>
      <c r="C16">
        <f>'Data Sheet'!B69</f>
        <v>1485</v>
      </c>
      <c r="D16">
        <f>'Data Sheet'!C69</f>
        <v>1063</v>
      </c>
      <c r="E16">
        <f>'Data Sheet'!D69</f>
        <v>6187</v>
      </c>
      <c r="F16">
        <f>'Data Sheet'!E69</f>
        <v>12003</v>
      </c>
      <c r="G16">
        <f>'Data Sheet'!F69</f>
        <v>12813</v>
      </c>
      <c r="H16">
        <f>'Data Sheet'!G69</f>
        <v>17383</v>
      </c>
      <c r="I16">
        <f>'Data Sheet'!H69</f>
        <v>20714</v>
      </c>
      <c r="J16">
        <f>'Data Sheet'!I69</f>
        <v>12348</v>
      </c>
      <c r="K16">
        <f>'Data Sheet'!J69</f>
        <v>13285</v>
      </c>
      <c r="L16">
        <f>'Data Sheet'!K69</f>
        <v>40989</v>
      </c>
    </row>
    <row r="17" spans="1:12" outlineLevel="2" x14ac:dyDescent="0.25">
      <c r="B17" s="87" t="s">
        <v>217</v>
      </c>
      <c r="C17" s="87">
        <f>SUM(C14:C15)-C16</f>
        <v>64496</v>
      </c>
      <c r="D17" s="87">
        <f t="shared" ref="D17:L17" si="2">SUM(D14:D15)-D16</f>
        <v>66328</v>
      </c>
      <c r="E17" s="87">
        <f t="shared" si="2"/>
        <v>76004</v>
      </c>
      <c r="F17" s="87">
        <f t="shared" si="2"/>
        <v>86019</v>
      </c>
      <c r="G17" s="87">
        <f t="shared" si="2"/>
        <v>99524</v>
      </c>
      <c r="H17" s="87">
        <f t="shared" si="2"/>
        <v>122151</v>
      </c>
      <c r="I17" s="87">
        <f t="shared" si="2"/>
        <v>125834</v>
      </c>
      <c r="J17" s="87">
        <f t="shared" si="2"/>
        <v>153305</v>
      </c>
      <c r="K17" s="87">
        <f t="shared" si="2"/>
        <v>164963</v>
      </c>
      <c r="L17" s="87">
        <f t="shared" si="2"/>
        <v>158374</v>
      </c>
    </row>
    <row r="18" spans="1:12" outlineLevel="2" x14ac:dyDescent="0.25"/>
    <row r="19" spans="1:12" outlineLevel="2" x14ac:dyDescent="0.25"/>
    <row r="20" spans="1:12" outlineLevel="2" x14ac:dyDescent="0.25">
      <c r="B20" s="33" t="s">
        <v>208</v>
      </c>
      <c r="C20" s="89">
        <f>C9/C17</f>
        <v>0.11169684941701812</v>
      </c>
      <c r="D20" s="89">
        <f t="shared" ref="D20:L20" si="3">D9/D17</f>
        <v>0.15063020142323</v>
      </c>
      <c r="E20" s="89">
        <f t="shared" si="3"/>
        <v>0.14795273932950898</v>
      </c>
      <c r="F20" s="89">
        <f t="shared" si="3"/>
        <v>9.8501493856008551E-2</v>
      </c>
      <c r="G20" s="89">
        <f t="shared" si="3"/>
        <v>0.11411317873075841</v>
      </c>
      <c r="H20" s="89">
        <f t="shared" si="3"/>
        <v>0.19898322567969154</v>
      </c>
      <c r="I20" s="89">
        <f t="shared" si="3"/>
        <v>7.5337349206096915E-2</v>
      </c>
      <c r="J20" s="89">
        <f t="shared" si="3"/>
        <v>0.10161442875313917</v>
      </c>
      <c r="K20" s="89">
        <f t="shared" si="3"/>
        <v>7.1713050805332107E-2</v>
      </c>
      <c r="L20" s="89">
        <f t="shared" si="3"/>
        <v>0.10104562617601374</v>
      </c>
    </row>
    <row r="23" spans="1:12" x14ac:dyDescent="0.25">
      <c r="A23" t="s">
        <v>94</v>
      </c>
      <c r="B23" s="33" t="s">
        <v>219</v>
      </c>
    </row>
    <row r="24" spans="1:12" outlineLevel="2" x14ac:dyDescent="0.25">
      <c r="B24" s="121" t="s">
        <v>209</v>
      </c>
      <c r="C24" s="121">
        <f t="shared" ref="C24:L24" si="4">C12</f>
        <v>42825</v>
      </c>
      <c r="D24" s="121">
        <f t="shared" si="4"/>
        <v>43190</v>
      </c>
      <c r="E24" s="121">
        <f t="shared" si="4"/>
        <v>43555</v>
      </c>
      <c r="F24" s="121">
        <f t="shared" si="4"/>
        <v>43921</v>
      </c>
      <c r="G24" s="121">
        <f t="shared" si="4"/>
        <v>44286</v>
      </c>
      <c r="H24" s="121">
        <f t="shared" si="4"/>
        <v>44651</v>
      </c>
      <c r="I24" s="121">
        <f t="shared" si="4"/>
        <v>45016</v>
      </c>
      <c r="J24" s="121">
        <f t="shared" si="4"/>
        <v>45382</v>
      </c>
      <c r="K24" s="121">
        <f t="shared" si="4"/>
        <v>45747</v>
      </c>
      <c r="L24" s="121">
        <f t="shared" si="4"/>
        <v>46112</v>
      </c>
    </row>
    <row r="25" spans="1:12" outlineLevel="2" x14ac:dyDescent="0.25"/>
    <row r="26" spans="1:12" outlineLevel="2" x14ac:dyDescent="0.25">
      <c r="B26" t="s">
        <v>220</v>
      </c>
      <c r="D26">
        <f>Historical!D58-Historical!C58+Historical!D25</f>
        <v>2505</v>
      </c>
      <c r="E26">
        <f>Historical!E58-Historical!D58+Historical!E25</f>
        <v>8837</v>
      </c>
      <c r="F26">
        <f>Historical!F58-Historical!E58+Historical!F25</f>
        <v>3687</v>
      </c>
      <c r="G26">
        <f>Historical!G58-Historical!F58+Historical!G25</f>
        <v>7511</v>
      </c>
      <c r="H26">
        <f>Historical!H58-Historical!G58+Historical!H25</f>
        <v>40964</v>
      </c>
      <c r="I26">
        <f>Historical!I58-Historical!H58+Historical!I25</f>
        <v>12046</v>
      </c>
      <c r="J26">
        <f>Historical!J58-Historical!I58+Historical!J25</f>
        <v>16181</v>
      </c>
      <c r="K26">
        <f>Historical!K58-Historical!J58+Historical!K25</f>
        <v>21314</v>
      </c>
      <c r="L26">
        <f>Historical!L58-Historical!K58+Historical!L25</f>
        <v>2687</v>
      </c>
    </row>
    <row r="27" spans="1:12" outlineLevel="2" x14ac:dyDescent="0.25">
      <c r="B27" t="s">
        <v>222</v>
      </c>
      <c r="C27">
        <f>Historical!C67-Historical!C55</f>
        <v>-4995</v>
      </c>
      <c r="D27">
        <f>Historical!D67-Historical!D55</f>
        <v>-6218</v>
      </c>
      <c r="E27">
        <f>Historical!E67-Historical!E55</f>
        <v>-4711</v>
      </c>
      <c r="F27">
        <f>Historical!F67-Historical!F55</f>
        <v>-3517</v>
      </c>
      <c r="G27">
        <f>Historical!G67-Historical!G55</f>
        <v>-3278</v>
      </c>
      <c r="H27">
        <f>Historical!H67-Historical!H55</f>
        <v>1676</v>
      </c>
      <c r="I27">
        <f>Historical!I67-Historical!I55</f>
        <v>-3008</v>
      </c>
      <c r="J27">
        <f>Historical!J67-Historical!J55</f>
        <v>-4534</v>
      </c>
      <c r="K27">
        <f>Historical!K67-Historical!K55</f>
        <v>-5541</v>
      </c>
      <c r="L27">
        <f>Historical!L67-Historical!L55</f>
        <v>14701</v>
      </c>
    </row>
    <row r="28" spans="1:12" outlineLevel="2" x14ac:dyDescent="0.25">
      <c r="B28" t="s">
        <v>221</v>
      </c>
      <c r="D28">
        <f>D27-C27</f>
        <v>-1223</v>
      </c>
      <c r="E28">
        <f t="shared" ref="E28:L28" si="5">E27-D27</f>
        <v>1507</v>
      </c>
      <c r="F28">
        <f t="shared" si="5"/>
        <v>1194</v>
      </c>
      <c r="G28">
        <f t="shared" si="5"/>
        <v>239</v>
      </c>
      <c r="H28">
        <f t="shared" si="5"/>
        <v>4954</v>
      </c>
      <c r="I28">
        <f t="shared" si="5"/>
        <v>-4684</v>
      </c>
      <c r="J28">
        <f t="shared" si="5"/>
        <v>-1526</v>
      </c>
      <c r="K28">
        <f t="shared" si="5"/>
        <v>-1007</v>
      </c>
      <c r="L28">
        <f t="shared" si="5"/>
        <v>20242</v>
      </c>
    </row>
    <row r="29" spans="1:12" outlineLevel="2" x14ac:dyDescent="0.25">
      <c r="B29" s="87" t="s">
        <v>224</v>
      </c>
      <c r="C29" s="87"/>
      <c r="D29" s="87">
        <f>D26+D28</f>
        <v>1282</v>
      </c>
      <c r="E29" s="87">
        <f t="shared" ref="E29:L29" si="6">E26+E28</f>
        <v>10344</v>
      </c>
      <c r="F29" s="87">
        <f t="shared" si="6"/>
        <v>4881</v>
      </c>
      <c r="G29" s="87">
        <f t="shared" si="6"/>
        <v>7750</v>
      </c>
      <c r="H29" s="87">
        <f t="shared" si="6"/>
        <v>45918</v>
      </c>
      <c r="I29" s="87">
        <f t="shared" si="6"/>
        <v>7362</v>
      </c>
      <c r="J29" s="87">
        <f t="shared" si="6"/>
        <v>14655</v>
      </c>
      <c r="K29" s="87">
        <f t="shared" si="6"/>
        <v>20307</v>
      </c>
      <c r="L29" s="87">
        <f t="shared" si="6"/>
        <v>22929</v>
      </c>
    </row>
    <row r="30" spans="1:12" outlineLevel="2" x14ac:dyDescent="0.25">
      <c r="B30" s="8"/>
      <c r="C30" s="8"/>
      <c r="D30" s="8"/>
      <c r="E30" s="8"/>
      <c r="F30" s="8"/>
      <c r="G30" s="8"/>
      <c r="H30" s="8"/>
      <c r="I30" s="8"/>
      <c r="J30" s="8"/>
      <c r="K30" s="8"/>
      <c r="L30" s="8"/>
    </row>
    <row r="31" spans="1:12" outlineLevel="2" x14ac:dyDescent="0.25"/>
    <row r="32" spans="1:12" outlineLevel="2" x14ac:dyDescent="0.25">
      <c r="B32" s="33" t="s">
        <v>223</v>
      </c>
      <c r="C32" s="33"/>
      <c r="D32" s="89">
        <f t="shared" ref="D32:L32" si="7">D29/D9</f>
        <v>0.12831548393554199</v>
      </c>
      <c r="E32" s="89">
        <f t="shared" si="7"/>
        <v>0.91987550022232101</v>
      </c>
      <c r="F32" s="89">
        <f t="shared" si="7"/>
        <v>0.57606514811754983</v>
      </c>
      <c r="G32" s="89">
        <f t="shared" si="7"/>
        <v>0.68239852073610985</v>
      </c>
      <c r="H32" s="89">
        <f t="shared" si="7"/>
        <v>1.8891631695877562</v>
      </c>
      <c r="I32" s="89">
        <f t="shared" si="7"/>
        <v>0.77658227848101269</v>
      </c>
      <c r="J32" s="89">
        <f t="shared" si="7"/>
        <v>0.94074977532417514</v>
      </c>
      <c r="K32" s="89">
        <f t="shared" si="7"/>
        <v>1.7165680473372782</v>
      </c>
      <c r="L32" s="89">
        <f t="shared" si="7"/>
        <v>1.4327938511529088</v>
      </c>
    </row>
    <row r="33" spans="1:12" outlineLevel="2" x14ac:dyDescent="0.25">
      <c r="B33" t="s">
        <v>152</v>
      </c>
      <c r="D33" s="90">
        <f>MEDIAN(D32:L32)</f>
        <v>0.91987550022232101</v>
      </c>
    </row>
    <row r="34" spans="1:12" outlineLevel="2" x14ac:dyDescent="0.25">
      <c r="D34" s="90"/>
    </row>
    <row r="36" spans="1:12" x14ac:dyDescent="0.25">
      <c r="A36" s="33" t="s">
        <v>94</v>
      </c>
      <c r="B36" s="33" t="s">
        <v>225</v>
      </c>
    </row>
    <row r="37" spans="1:12" outlineLevel="1" x14ac:dyDescent="0.25">
      <c r="B37" t="s">
        <v>226</v>
      </c>
      <c r="D37" s="60">
        <f t="shared" ref="D37:L37" si="8">D32*D20</f>
        <v>1.9328187190929921E-2</v>
      </c>
      <c r="E37" s="60">
        <f t="shared" si="8"/>
        <v>0.13609810009999473</v>
      </c>
      <c r="F37" s="60">
        <f t="shared" si="8"/>
        <v>5.6743277647961492E-2</v>
      </c>
      <c r="G37" s="60">
        <f t="shared" si="8"/>
        <v>7.7870664362364853E-2</v>
      </c>
      <c r="H37" s="60">
        <f t="shared" si="8"/>
        <v>0.37591178131984188</v>
      </c>
      <c r="I37" s="60">
        <f t="shared" si="8"/>
        <v>5.8505650301190454E-2</v>
      </c>
      <c r="J37" s="60">
        <f t="shared" si="8"/>
        <v>9.5593751019210069E-2</v>
      </c>
      <c r="K37" s="60">
        <f t="shared" si="8"/>
        <v>0.12310033158950796</v>
      </c>
      <c r="L37" s="60">
        <f t="shared" si="8"/>
        <v>0.14477755187088789</v>
      </c>
    </row>
    <row r="38" spans="1:12" outlineLevel="1" x14ac:dyDescent="0.25">
      <c r="B38" t="s">
        <v>227</v>
      </c>
      <c r="D38" s="59">
        <f>AVERAGE(D37:L37)</f>
        <v>0.12088103282243215</v>
      </c>
    </row>
    <row r="39" spans="1:12" outlineLevel="1" x14ac:dyDescent="0.25">
      <c r="B39" s="33" t="s">
        <v>152</v>
      </c>
      <c r="C39" s="33"/>
      <c r="D39" s="122">
        <f>MEDIAN(D37:L37)</f>
        <v>9.5593751019210069E-2</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5B99-555B-44AA-BDDA-DA9E4456466D}">
  <dimension ref="B1:N43"/>
  <sheetViews>
    <sheetView showGridLines="0" workbookViewId="0">
      <selection activeCell="F10" sqref="F10"/>
    </sheetView>
  </sheetViews>
  <sheetFormatPr defaultRowHeight="15" x14ac:dyDescent="0.25"/>
  <cols>
    <col min="1" max="1" width="1.85546875" customWidth="1"/>
    <col min="2" max="2" width="45.85546875" customWidth="1"/>
    <col min="4" max="5" width="12.7109375" customWidth="1"/>
    <col min="13" max="13" width="11.28515625" customWidth="1"/>
  </cols>
  <sheetData>
    <row r="1" spans="2:14" ht="3.75" customHeight="1" x14ac:dyDescent="0.25"/>
    <row r="2" spans="2:14" ht="26.25" customHeight="1" x14ac:dyDescent="0.35">
      <c r="B2" s="126" t="s">
        <v>279</v>
      </c>
      <c r="C2" s="126"/>
      <c r="D2" s="126"/>
      <c r="E2" s="126"/>
      <c r="F2" s="41"/>
      <c r="G2" s="41"/>
      <c r="H2" s="41"/>
      <c r="I2" s="41"/>
      <c r="J2" s="41"/>
      <c r="K2" s="41"/>
      <c r="L2" s="41"/>
      <c r="M2" s="41"/>
      <c r="N2" s="41"/>
    </row>
    <row r="4" spans="2:14" x14ac:dyDescent="0.25">
      <c r="B4" s="62" t="s">
        <v>153</v>
      </c>
      <c r="C4" s="62"/>
      <c r="D4" s="62"/>
      <c r="E4" s="62"/>
      <c r="F4" s="62"/>
    </row>
    <row r="6" spans="2:14" x14ac:dyDescent="0.25">
      <c r="B6" s="185" t="s">
        <v>154</v>
      </c>
      <c r="C6" s="185"/>
      <c r="D6" s="185"/>
      <c r="E6" s="185"/>
      <c r="F6" s="185"/>
      <c r="G6" s="185"/>
      <c r="H6" s="185"/>
      <c r="I6" s="185"/>
      <c r="J6" s="185"/>
    </row>
    <row r="7" spans="2:14" x14ac:dyDescent="0.25">
      <c r="B7" s="102"/>
      <c r="C7" s="102"/>
      <c r="D7" s="102"/>
      <c r="E7" s="102"/>
      <c r="F7" s="102"/>
      <c r="G7" s="102"/>
      <c r="H7" s="102"/>
      <c r="I7" s="102"/>
      <c r="J7" s="102"/>
    </row>
    <row r="8" spans="2:14" ht="32.25" x14ac:dyDescent="0.25">
      <c r="B8" s="102" t="s">
        <v>155</v>
      </c>
      <c r="C8" s="115" t="s">
        <v>156</v>
      </c>
      <c r="D8" s="115" t="s">
        <v>157</v>
      </c>
      <c r="E8" s="115" t="s">
        <v>158</v>
      </c>
      <c r="F8" s="115" t="s">
        <v>276</v>
      </c>
      <c r="G8" s="115" t="s">
        <v>159</v>
      </c>
      <c r="H8" s="115" t="s">
        <v>160</v>
      </c>
      <c r="I8" s="115" t="s">
        <v>277</v>
      </c>
      <c r="J8" s="115" t="s">
        <v>278</v>
      </c>
    </row>
    <row r="9" spans="2:14" x14ac:dyDescent="0.25">
      <c r="C9" s="63"/>
      <c r="D9" s="63"/>
      <c r="E9" s="63"/>
      <c r="F9" s="63"/>
      <c r="G9" s="63"/>
      <c r="H9" s="63"/>
      <c r="I9" s="63"/>
      <c r="J9" s="63"/>
    </row>
    <row r="10" spans="2:14" x14ac:dyDescent="0.25">
      <c r="B10" s="64" t="s">
        <v>245</v>
      </c>
      <c r="C10" s="65" t="s">
        <v>161</v>
      </c>
      <c r="D10" s="34">
        <v>92381.68</v>
      </c>
      <c r="E10" s="34">
        <v>262928.05</v>
      </c>
      <c r="F10" s="66">
        <f>tax_rate</f>
        <v>0.25</v>
      </c>
      <c r="G10" s="123">
        <f>D10/E10</f>
        <v>0.35135726294703057</v>
      </c>
      <c r="H10" s="123">
        <f>D10/(E10+D10)</f>
        <v>0.26000323717563267</v>
      </c>
      <c r="I10" s="67">
        <v>1.1000000000000001</v>
      </c>
      <c r="J10" s="68">
        <f>I10/(1+(1-F10)*G10)</f>
        <v>0.87058518039153709</v>
      </c>
    </row>
    <row r="11" spans="2:14" x14ac:dyDescent="0.25">
      <c r="B11" s="64" t="s">
        <v>246</v>
      </c>
      <c r="C11" s="65" t="s">
        <v>161</v>
      </c>
      <c r="D11" s="34">
        <v>22609.55</v>
      </c>
      <c r="E11" s="34">
        <v>122767.55</v>
      </c>
      <c r="F11" s="66">
        <f>tax_rate</f>
        <v>0.25</v>
      </c>
      <c r="G11" s="123">
        <f t="shared" ref="G11:G14" si="0">D11/E11</f>
        <v>0.18416552256683463</v>
      </c>
      <c r="H11" s="123">
        <f t="shared" ref="H11:H14" si="1">D11/(E11+D11)</f>
        <v>0.15552346277371057</v>
      </c>
      <c r="I11" s="67">
        <v>1.1200000000000001</v>
      </c>
      <c r="J11" s="68">
        <f t="shared" ref="J11:J14" si="2">I11/(1+(1-F11)*G11)</f>
        <v>0.9840754261705853</v>
      </c>
    </row>
    <row r="12" spans="2:14" x14ac:dyDescent="0.25">
      <c r="B12" s="64" t="s">
        <v>247</v>
      </c>
      <c r="C12" s="65" t="s">
        <v>161</v>
      </c>
      <c r="D12" s="34">
        <v>31927.71</v>
      </c>
      <c r="E12" s="34">
        <v>84835.28</v>
      </c>
      <c r="F12" s="66">
        <f>tax_rate</f>
        <v>0.25</v>
      </c>
      <c r="G12" s="123">
        <f t="shared" si="0"/>
        <v>0.37634943858262743</v>
      </c>
      <c r="H12" s="123">
        <f t="shared" si="1"/>
        <v>0.27344032556891529</v>
      </c>
      <c r="I12" s="67">
        <v>1.1399999999999999</v>
      </c>
      <c r="J12" s="68">
        <f t="shared" si="2"/>
        <v>0.88905382037429537</v>
      </c>
    </row>
    <row r="13" spans="2:14" x14ac:dyDescent="0.25">
      <c r="B13" s="64" t="s">
        <v>248</v>
      </c>
      <c r="C13" s="65" t="s">
        <v>161</v>
      </c>
      <c r="D13" s="34">
        <v>7460.33</v>
      </c>
      <c r="E13" s="34">
        <v>56604.32</v>
      </c>
      <c r="F13" s="66">
        <f>tax_rate</f>
        <v>0.25</v>
      </c>
      <c r="G13" s="123">
        <f t="shared" si="0"/>
        <v>0.13179789104435846</v>
      </c>
      <c r="H13" s="123">
        <f t="shared" si="1"/>
        <v>0.11645002353091759</v>
      </c>
      <c r="I13" s="67">
        <v>1.1399999999999999</v>
      </c>
      <c r="J13" s="68">
        <f t="shared" si="2"/>
        <v>1.0374497346786213</v>
      </c>
    </row>
    <row r="14" spans="2:14" x14ac:dyDescent="0.25">
      <c r="B14" s="64" t="s">
        <v>249</v>
      </c>
      <c r="C14" s="65" t="s">
        <v>161</v>
      </c>
      <c r="D14" s="34">
        <v>2631.92</v>
      </c>
      <c r="E14" s="34">
        <v>18318.599999999999</v>
      </c>
      <c r="F14" s="66">
        <f>tax_rate</f>
        <v>0.25</v>
      </c>
      <c r="G14" s="123">
        <f t="shared" si="0"/>
        <v>0.14367473496882952</v>
      </c>
      <c r="H14" s="123">
        <f t="shared" si="1"/>
        <v>0.12562552146677031</v>
      </c>
      <c r="I14" s="67">
        <v>0.996</v>
      </c>
      <c r="J14" s="68">
        <f t="shared" si="2"/>
        <v>0.89911492597772369</v>
      </c>
    </row>
    <row r="15" spans="2:14" x14ac:dyDescent="0.25">
      <c r="D15" s="96"/>
      <c r="E15" s="96"/>
    </row>
    <row r="16" spans="2:14" x14ac:dyDescent="0.25">
      <c r="C16" s="69" t="s">
        <v>162</v>
      </c>
      <c r="D16" s="127">
        <f>AVERAGE(D10:D14)</f>
        <v>31402.238000000001</v>
      </c>
      <c r="E16" s="127">
        <f t="shared" ref="E16:J16" si="3">AVERAGE(E10:E14)</f>
        <v>109090.75999999998</v>
      </c>
      <c r="F16" s="128">
        <f t="shared" si="3"/>
        <v>0.25</v>
      </c>
      <c r="G16" s="129">
        <f t="shared" si="3"/>
        <v>0.23746897002193612</v>
      </c>
      <c r="H16" s="129">
        <f t="shared" si="3"/>
        <v>0.18620851410318928</v>
      </c>
      <c r="I16" s="130">
        <f t="shared" si="3"/>
        <v>1.0992000000000002</v>
      </c>
      <c r="J16" s="130">
        <f t="shared" si="3"/>
        <v>0.9360558175185526</v>
      </c>
    </row>
    <row r="17" spans="2:13" x14ac:dyDescent="0.25">
      <c r="C17" s="70" t="s">
        <v>152</v>
      </c>
      <c r="D17" s="131">
        <f>MEDIAN(D10:D14)</f>
        <v>22609.55</v>
      </c>
      <c r="E17" s="131">
        <f t="shared" ref="E17:J17" si="4">MEDIAN(E10:E14)</f>
        <v>84835.28</v>
      </c>
      <c r="F17" s="132">
        <f t="shared" si="4"/>
        <v>0.25</v>
      </c>
      <c r="G17" s="133">
        <f t="shared" si="4"/>
        <v>0.18416552256683463</v>
      </c>
      <c r="H17" s="133">
        <f t="shared" si="4"/>
        <v>0.15552346277371057</v>
      </c>
      <c r="I17" s="134">
        <f t="shared" si="4"/>
        <v>1.1200000000000001</v>
      </c>
      <c r="J17" s="135">
        <f t="shared" si="4"/>
        <v>0.89911492597772369</v>
      </c>
    </row>
    <row r="20" spans="2:13" x14ac:dyDescent="0.25">
      <c r="B20" s="186" t="s">
        <v>163</v>
      </c>
      <c r="C20" s="187"/>
      <c r="D20" s="187"/>
      <c r="E20" s="187"/>
      <c r="H20" s="186" t="s">
        <v>164</v>
      </c>
      <c r="I20" s="187"/>
      <c r="J20" s="187"/>
      <c r="K20" s="187"/>
      <c r="L20" s="186"/>
      <c r="M20" s="187"/>
    </row>
    <row r="22" spans="2:13" x14ac:dyDescent="0.25">
      <c r="B22" t="s">
        <v>165</v>
      </c>
      <c r="E22" s="59">
        <v>8.4000000000000005E-2</v>
      </c>
      <c r="H22" t="s">
        <v>166</v>
      </c>
      <c r="M22" s="59">
        <f>RF</f>
        <v>7.0000000000000007E-2</v>
      </c>
    </row>
    <row r="23" spans="2:13" x14ac:dyDescent="0.25">
      <c r="B23" t="s">
        <v>167</v>
      </c>
      <c r="E23" s="59">
        <f>tax_rate</f>
        <v>0.25</v>
      </c>
      <c r="H23" t="s">
        <v>168</v>
      </c>
      <c r="M23" s="59">
        <f>ERP</f>
        <v>4.9999999999999989E-2</v>
      </c>
    </row>
    <row r="24" spans="2:13" ht="17.25" x14ac:dyDescent="0.25">
      <c r="B24" s="71" t="s">
        <v>169</v>
      </c>
      <c r="C24" s="71"/>
      <c r="D24" s="71"/>
      <c r="E24" s="72">
        <f>E22*(1-E23)</f>
        <v>6.3E-2</v>
      </c>
      <c r="H24" t="s">
        <v>170</v>
      </c>
      <c r="M24" s="61">
        <f>M33</f>
        <v>1.078833056288365</v>
      </c>
    </row>
    <row r="25" spans="2:13" x14ac:dyDescent="0.25">
      <c r="H25" s="71" t="s">
        <v>171</v>
      </c>
      <c r="I25" s="71"/>
      <c r="J25" s="71"/>
      <c r="K25" s="71"/>
      <c r="L25" s="71"/>
      <c r="M25" s="72">
        <f>M22+(M23*M24)</f>
        <v>0.12394165281441824</v>
      </c>
    </row>
    <row r="28" spans="2:13" x14ac:dyDescent="0.25">
      <c r="B28" s="186" t="s">
        <v>172</v>
      </c>
      <c r="C28" s="187"/>
      <c r="D28" s="187"/>
      <c r="E28" s="187"/>
      <c r="H28" s="186" t="s">
        <v>173</v>
      </c>
      <c r="I28" s="187"/>
      <c r="J28" s="187"/>
      <c r="K28" s="187"/>
      <c r="L28" s="186"/>
      <c r="M28" s="187"/>
    </row>
    <row r="30" spans="2:13" ht="17.25" x14ac:dyDescent="0.25">
      <c r="D30" s="73" t="s">
        <v>174</v>
      </c>
      <c r="E30" s="73" t="s">
        <v>252</v>
      </c>
      <c r="H30" t="s">
        <v>175</v>
      </c>
      <c r="M30" s="97">
        <f>J17</f>
        <v>0.89911492597772369</v>
      </c>
    </row>
    <row r="31" spans="2:13" x14ac:dyDescent="0.25">
      <c r="B31" t="s">
        <v>176</v>
      </c>
      <c r="C31" s="64">
        <f>'Data Sheet'!K59</f>
        <v>99310</v>
      </c>
      <c r="D31" s="59">
        <f>C31/C33</f>
        <v>0.24113790869063353</v>
      </c>
      <c r="E31" s="98">
        <f>D17</f>
        <v>22609.55</v>
      </c>
      <c r="H31" t="s">
        <v>177</v>
      </c>
      <c r="M31" s="59">
        <f>E31/E32</f>
        <v>0.26651117318172346</v>
      </c>
    </row>
    <row r="32" spans="2:13" x14ac:dyDescent="0.25">
      <c r="B32" t="s">
        <v>178</v>
      </c>
      <c r="C32" s="64">
        <f>'Data Sheet'!B9</f>
        <v>312529.02</v>
      </c>
      <c r="D32" s="59">
        <f>C32/C33</f>
        <v>0.75886209130936644</v>
      </c>
      <c r="E32" s="34">
        <f>E17</f>
        <v>84835.28</v>
      </c>
      <c r="H32" t="s">
        <v>167</v>
      </c>
      <c r="M32" s="59">
        <f>E23</f>
        <v>0.25</v>
      </c>
    </row>
    <row r="33" spans="2:13" x14ac:dyDescent="0.25">
      <c r="B33" s="71" t="s">
        <v>179</v>
      </c>
      <c r="C33" s="71">
        <f>C32+C31</f>
        <v>411839.02</v>
      </c>
      <c r="D33" s="72">
        <f>D31+D32</f>
        <v>1</v>
      </c>
      <c r="E33" s="72">
        <v>1</v>
      </c>
      <c r="H33" s="71"/>
      <c r="I33" s="71"/>
      <c r="J33" s="71"/>
      <c r="K33" s="71"/>
      <c r="L33" s="71"/>
      <c r="M33" s="74">
        <f>M30*(1+(1-M32)*M31)</f>
        <v>1.078833056288365</v>
      </c>
    </row>
    <row r="36" spans="2:13" x14ac:dyDescent="0.25">
      <c r="B36" t="s">
        <v>180</v>
      </c>
      <c r="D36" s="72">
        <f>D31/D32</f>
        <v>0.31776249130400752</v>
      </c>
      <c r="E36" s="72">
        <f>E31/E32</f>
        <v>0.26651117318172346</v>
      </c>
      <c r="H36" s="186" t="s">
        <v>181</v>
      </c>
      <c r="I36" s="187"/>
      <c r="J36" s="187"/>
      <c r="K36" s="187"/>
      <c r="L36" s="186"/>
      <c r="M36" s="187"/>
    </row>
    <row r="38" spans="2:13" ht="17.25" customHeight="1" x14ac:dyDescent="0.25">
      <c r="L38" s="53" t="s">
        <v>182</v>
      </c>
      <c r="M38" s="83" t="s">
        <v>189</v>
      </c>
    </row>
    <row r="39" spans="2:13" x14ac:dyDescent="0.25">
      <c r="B39" s="75" t="s">
        <v>183</v>
      </c>
      <c r="C39" s="76"/>
      <c r="D39" s="77"/>
      <c r="L39" s="71"/>
      <c r="M39" s="71"/>
    </row>
    <row r="40" spans="2:13" x14ac:dyDescent="0.25">
      <c r="B40" s="78" t="s">
        <v>250</v>
      </c>
      <c r="C40" s="79"/>
      <c r="D40" s="80"/>
      <c r="H40" t="s">
        <v>184</v>
      </c>
      <c r="L40" s="59">
        <f>E24</f>
        <v>6.3E-2</v>
      </c>
      <c r="M40" s="59">
        <f>E31/SUM(E31:E32)</f>
        <v>0.21042938966909808</v>
      </c>
    </row>
    <row r="41" spans="2:13" x14ac:dyDescent="0.25">
      <c r="B41" s="78" t="s">
        <v>185</v>
      </c>
      <c r="C41" s="79"/>
      <c r="D41" s="80"/>
      <c r="H41" t="s">
        <v>186</v>
      </c>
      <c r="L41" s="59">
        <f>M25</f>
        <v>0.12394165281441824</v>
      </c>
      <c r="M41" s="59">
        <f>E32/SUM(E31:E32)</f>
        <v>0.78957061033090192</v>
      </c>
    </row>
    <row r="42" spans="2:13" x14ac:dyDescent="0.25">
      <c r="B42" s="78" t="s">
        <v>187</v>
      </c>
      <c r="C42" s="79"/>
      <c r="D42" s="80"/>
      <c r="H42" s="71" t="s">
        <v>188</v>
      </c>
      <c r="I42" s="71"/>
      <c r="J42" s="71"/>
      <c r="K42" s="71"/>
      <c r="L42" s="72">
        <f>(L40*M40)+(L41*M41)</f>
        <v>0.11111773800725414</v>
      </c>
      <c r="M42" s="71"/>
    </row>
    <row r="43" spans="2:13" x14ac:dyDescent="0.25">
      <c r="B43" s="78" t="s">
        <v>251</v>
      </c>
      <c r="C43" s="7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D6360-C0D6-42B6-9154-E1752663C47C}">
  <sheetPr>
    <pageSetUpPr autoPageBreaks="0"/>
  </sheetPr>
  <dimension ref="B1:I128"/>
  <sheetViews>
    <sheetView showGridLines="0" topLeftCell="A43" zoomScaleNormal="100" workbookViewId="0">
      <selection activeCell="B34" sqref="B34"/>
    </sheetView>
  </sheetViews>
  <sheetFormatPr defaultRowHeight="15" x14ac:dyDescent="0.25"/>
  <cols>
    <col min="1" max="1" width="1.85546875" customWidth="1"/>
    <col min="2" max="2" width="42.5703125" customWidth="1"/>
    <col min="10" max="10" width="2.7109375" customWidth="1"/>
  </cols>
  <sheetData>
    <row r="1" spans="2:9" ht="27" customHeight="1" x14ac:dyDescent="0.25">
      <c r="B1" s="161"/>
      <c r="C1" s="161"/>
      <c r="D1" s="161"/>
      <c r="E1" s="161"/>
      <c r="F1" s="161"/>
      <c r="G1" s="161"/>
      <c r="H1" s="161"/>
      <c r="I1" s="161"/>
    </row>
    <row r="2" spans="2:9" x14ac:dyDescent="0.25">
      <c r="B2" s="101"/>
    </row>
    <row r="3" spans="2:9" ht="33.75" customHeight="1" x14ac:dyDescent="0.25">
      <c r="B3" s="173" t="str">
        <f>'[2]Data Sheet'!B1</f>
        <v>JSW STEEL LTD</v>
      </c>
    </row>
    <row r="4" spans="2:9" x14ac:dyDescent="0.25">
      <c r="B4" s="172" t="s">
        <v>349</v>
      </c>
    </row>
    <row r="5" spans="2:9" ht="26.25" customHeight="1" x14ac:dyDescent="0.3">
      <c r="B5" s="171" t="str">
        <f>"INR "&amp;'[2]Data Sheet'!B8</f>
        <v>INR 1284</v>
      </c>
      <c r="C5" s="170"/>
      <c r="D5" s="139"/>
      <c r="E5" s="139"/>
    </row>
    <row r="6" spans="2:9" x14ac:dyDescent="0.25">
      <c r="B6" t="s">
        <v>387</v>
      </c>
    </row>
    <row r="7" spans="2:9" ht="15.75" thickBot="1" x14ac:dyDescent="0.3">
      <c r="B7" s="169"/>
      <c r="C7" s="169"/>
      <c r="D7" s="169"/>
      <c r="E7" s="169"/>
      <c r="F7" s="169"/>
      <c r="G7" s="169"/>
      <c r="H7" s="169"/>
      <c r="I7" s="169"/>
    </row>
    <row r="8" spans="2:9" ht="21.75" customHeight="1" x14ac:dyDescent="0.25">
      <c r="B8" s="168" t="s">
        <v>348</v>
      </c>
    </row>
    <row r="9" spans="2:9" ht="6.75" customHeight="1" x14ac:dyDescent="0.25"/>
    <row r="10" spans="2:9" ht="15" customHeight="1" x14ac:dyDescent="0.25">
      <c r="B10" s="194" t="s">
        <v>347</v>
      </c>
      <c r="C10" s="194"/>
      <c r="D10" s="194"/>
      <c r="E10" s="194"/>
      <c r="F10" s="194"/>
      <c r="G10" s="194"/>
      <c r="H10" s="194"/>
      <c r="I10" s="194"/>
    </row>
    <row r="11" spans="2:9" x14ac:dyDescent="0.25">
      <c r="B11" s="194"/>
      <c r="C11" s="194"/>
      <c r="D11" s="194"/>
      <c r="E11" s="194"/>
      <c r="F11" s="194"/>
      <c r="G11" s="194"/>
      <c r="H11" s="194"/>
      <c r="I11" s="194"/>
    </row>
    <row r="12" spans="2:9" x14ac:dyDescent="0.25">
      <c r="B12" s="194"/>
      <c r="C12" s="194"/>
      <c r="D12" s="194"/>
      <c r="E12" s="194"/>
      <c r="F12" s="194"/>
      <c r="G12" s="194"/>
      <c r="H12" s="194"/>
      <c r="I12" s="194"/>
    </row>
    <row r="13" spans="2:9" x14ac:dyDescent="0.25">
      <c r="B13" s="194"/>
      <c r="C13" s="194"/>
      <c r="D13" s="194"/>
      <c r="E13" s="194"/>
      <c r="F13" s="194"/>
      <c r="G13" s="194"/>
      <c r="H13" s="194"/>
      <c r="I13" s="194"/>
    </row>
    <row r="14" spans="2:9" x14ac:dyDescent="0.25">
      <c r="B14" s="194"/>
      <c r="C14" s="194"/>
      <c r="D14" s="194"/>
      <c r="E14" s="194"/>
      <c r="F14" s="194"/>
      <c r="G14" s="194"/>
      <c r="H14" s="194"/>
      <c r="I14" s="194"/>
    </row>
    <row r="15" spans="2:9" x14ac:dyDescent="0.25">
      <c r="B15" s="194"/>
      <c r="C15" s="194"/>
      <c r="D15" s="194"/>
      <c r="E15" s="194"/>
      <c r="F15" s="194"/>
      <c r="G15" s="194"/>
      <c r="H15" s="194"/>
      <c r="I15" s="194"/>
    </row>
    <row r="16" spans="2:9" x14ac:dyDescent="0.25">
      <c r="B16" s="194"/>
      <c r="C16" s="194"/>
      <c r="D16" s="194"/>
      <c r="E16" s="194"/>
      <c r="F16" s="194"/>
      <c r="G16" s="194"/>
      <c r="H16" s="194"/>
      <c r="I16" s="194"/>
    </row>
    <row r="17" spans="2:9" x14ac:dyDescent="0.25">
      <c r="B17" s="194"/>
      <c r="C17" s="194"/>
      <c r="D17" s="194"/>
      <c r="E17" s="194"/>
      <c r="F17" s="194"/>
      <c r="G17" s="194"/>
      <c r="H17" s="194"/>
      <c r="I17" s="194"/>
    </row>
    <row r="18" spans="2:9" x14ac:dyDescent="0.25">
      <c r="B18" s="194"/>
      <c r="C18" s="194"/>
      <c r="D18" s="194"/>
      <c r="E18" s="194"/>
      <c r="F18" s="194"/>
      <c r="G18" s="194"/>
      <c r="H18" s="194"/>
      <c r="I18" s="194"/>
    </row>
    <row r="19" spans="2:9" ht="15.75" x14ac:dyDescent="0.25">
      <c r="B19" s="84" t="s">
        <v>346</v>
      </c>
    </row>
    <row r="20" spans="2:9" ht="15.75" x14ac:dyDescent="0.25">
      <c r="B20" s="84"/>
    </row>
    <row r="27" spans="2:9" x14ac:dyDescent="0.25">
      <c r="D27" s="167"/>
    </row>
    <row r="63" spans="2:9" ht="27" customHeight="1" x14ac:dyDescent="0.25">
      <c r="B63" s="161"/>
      <c r="C63" s="161"/>
      <c r="D63" s="161"/>
      <c r="E63" s="161"/>
      <c r="F63" s="161"/>
      <c r="G63" s="161"/>
      <c r="H63" s="161"/>
      <c r="I63" s="161"/>
    </row>
    <row r="64" spans="2:9" ht="3.75" customHeight="1" x14ac:dyDescent="0.25"/>
    <row r="65" spans="2:9" ht="27" customHeight="1" x14ac:dyDescent="0.25">
      <c r="B65" s="161"/>
      <c r="C65" s="161"/>
      <c r="D65" s="161"/>
      <c r="E65" s="161"/>
      <c r="F65" s="161"/>
      <c r="G65" s="161"/>
      <c r="H65" s="161"/>
      <c r="I65" s="161"/>
    </row>
    <row r="67" spans="2:9" x14ac:dyDescent="0.25">
      <c r="B67" s="193" t="s">
        <v>345</v>
      </c>
      <c r="C67" s="193"/>
      <c r="D67" s="193"/>
      <c r="E67" s="193"/>
      <c r="F67" s="193"/>
      <c r="G67" s="193"/>
      <c r="H67" s="193"/>
      <c r="I67" s="193"/>
    </row>
    <row r="68" spans="2:9" x14ac:dyDescent="0.25">
      <c r="B68" s="166" t="s">
        <v>209</v>
      </c>
      <c r="C68" s="165">
        <f>'[2]Data Sheet'!E56</f>
        <v>43921</v>
      </c>
      <c r="D68" s="165">
        <f>'[2]Data Sheet'!F56</f>
        <v>44286</v>
      </c>
      <c r="E68" s="165">
        <f>'[2]Data Sheet'!G56</f>
        <v>44651</v>
      </c>
      <c r="F68" s="165">
        <f>'[2]Data Sheet'!H56</f>
        <v>45016</v>
      </c>
      <c r="G68" s="165">
        <f>'[2]Data Sheet'!I56</f>
        <v>45382</v>
      </c>
      <c r="H68" s="165">
        <f>'[2]Data Sheet'!J56</f>
        <v>45747</v>
      </c>
      <c r="I68" s="165">
        <f>'[2]Data Sheet'!K56</f>
        <v>46112</v>
      </c>
    </row>
    <row r="69" spans="2:9" ht="6" customHeight="1" x14ac:dyDescent="0.25"/>
    <row r="70" spans="2:9" x14ac:dyDescent="0.25">
      <c r="B70" t="s">
        <v>302</v>
      </c>
      <c r="C70">
        <f>'[2]Data Sheet'!E30</f>
        <v>4030</v>
      </c>
      <c r="D70">
        <f>'[2]Data Sheet'!F30</f>
        <v>7911</v>
      </c>
      <c r="E70">
        <f>'[2]Data Sheet'!G30</f>
        <v>20665</v>
      </c>
      <c r="F70">
        <f>'[2]Data Sheet'!H30</f>
        <v>4144</v>
      </c>
      <c r="G70">
        <f>'[2]Data Sheet'!I30</f>
        <v>8812</v>
      </c>
      <c r="H70">
        <f>'[2]Data Sheet'!J30</f>
        <v>3504</v>
      </c>
      <c r="I70">
        <f>'[2]Data Sheet'!K30</f>
        <v>22316</v>
      </c>
    </row>
    <row r="71" spans="2:9" x14ac:dyDescent="0.25">
      <c r="B71" t="s">
        <v>344</v>
      </c>
      <c r="C71">
        <f>('[2]Data Sheet'!E57+'[2]Data Sheet'!E58)+('[2]Data Sheet'!D57+'[2]Data Sheet'!D58)/2</f>
        <v>53996.5</v>
      </c>
      <c r="D71">
        <f>('[2]Data Sheet'!F57+'[2]Data Sheet'!F58)+('[2]Data Sheet'!E57+'[2]Data Sheet'!E58)/2</f>
        <v>63909.5</v>
      </c>
      <c r="E71">
        <f>('[2]Data Sheet'!G57+'[2]Data Sheet'!G58)+('[2]Data Sheet'!F57+'[2]Data Sheet'!F58)/2</f>
        <v>90102</v>
      </c>
      <c r="F71">
        <f>('[2]Data Sheet'!H57+'[2]Data Sheet'!H58)+('[2]Data Sheet'!G57+'[2]Data Sheet'!G58)/2</f>
        <v>99343.5</v>
      </c>
      <c r="G71">
        <f>('[2]Data Sheet'!I57+'[2]Data Sheet'!I58)+('[2]Data Sheet'!H57+'[2]Data Sheet'!H58)/2</f>
        <v>110516.5</v>
      </c>
      <c r="H71">
        <f>('[2]Data Sheet'!J57+'[2]Data Sheet'!J58)+('[2]Data Sheet'!I57+'[2]Data Sheet'!I58)/2</f>
        <v>118330.5</v>
      </c>
      <c r="I71">
        <f>('[2]Data Sheet'!K57+'[2]Data Sheet'!K58)+('[2]Data Sheet'!J57+'[2]Data Sheet'!J58)/2</f>
        <v>139801</v>
      </c>
    </row>
    <row r="72" spans="2:9" x14ac:dyDescent="0.25">
      <c r="B72" s="163" t="s">
        <v>343</v>
      </c>
      <c r="C72" s="162">
        <f t="shared" ref="C72:I72" si="0">C70/C71</f>
        <v>7.4634467048790204E-2</v>
      </c>
      <c r="D72" s="162">
        <f t="shared" si="0"/>
        <v>0.12378441389777732</v>
      </c>
      <c r="E72" s="162">
        <f t="shared" si="0"/>
        <v>0.22935117977403388</v>
      </c>
      <c r="F72" s="162">
        <f t="shared" si="0"/>
        <v>4.1713851434668596E-2</v>
      </c>
      <c r="G72" s="162">
        <f t="shared" si="0"/>
        <v>7.9734700248379198E-2</v>
      </c>
      <c r="H72" s="162">
        <f t="shared" si="0"/>
        <v>2.9611976624792424E-2</v>
      </c>
      <c r="I72" s="162">
        <f t="shared" si="0"/>
        <v>0.15962689823391821</v>
      </c>
    </row>
    <row r="74" spans="2:9" x14ac:dyDescent="0.25">
      <c r="B74" s="193" t="s">
        <v>342</v>
      </c>
      <c r="C74" s="193"/>
      <c r="D74" s="193"/>
      <c r="E74" s="193"/>
      <c r="F74" s="193"/>
      <c r="G74" s="193"/>
      <c r="H74" s="193"/>
      <c r="I74" s="193"/>
    </row>
    <row r="75" spans="2:9" x14ac:dyDescent="0.25">
      <c r="B75" s="166" t="s">
        <v>209</v>
      </c>
      <c r="C75" s="165">
        <f t="shared" ref="C75:I75" si="1">C68</f>
        <v>43921</v>
      </c>
      <c r="D75" s="165">
        <f t="shared" si="1"/>
        <v>44286</v>
      </c>
      <c r="E75" s="165">
        <f t="shared" si="1"/>
        <v>44651</v>
      </c>
      <c r="F75" s="165">
        <f t="shared" si="1"/>
        <v>45016</v>
      </c>
      <c r="G75" s="165">
        <f t="shared" si="1"/>
        <v>45382</v>
      </c>
      <c r="H75" s="165">
        <f t="shared" si="1"/>
        <v>45747</v>
      </c>
      <c r="I75" s="165">
        <f t="shared" si="1"/>
        <v>46112</v>
      </c>
    </row>
    <row r="76" spans="2:9" x14ac:dyDescent="0.25">
      <c r="B76" s="166"/>
      <c r="C76" s="165"/>
      <c r="D76" s="165"/>
      <c r="E76" s="165"/>
      <c r="F76" s="165"/>
      <c r="G76" s="165"/>
      <c r="H76" s="165"/>
      <c r="I76" s="165"/>
    </row>
    <row r="77" spans="2:9" x14ac:dyDescent="0.25">
      <c r="B77" t="s">
        <v>341</v>
      </c>
      <c r="C77">
        <f t="shared" ref="C77:I77" si="2">C70</f>
        <v>4030</v>
      </c>
      <c r="D77">
        <f t="shared" si="2"/>
        <v>7911</v>
      </c>
      <c r="E77">
        <f t="shared" si="2"/>
        <v>20665</v>
      </c>
      <c r="F77">
        <f t="shared" si="2"/>
        <v>4144</v>
      </c>
      <c r="G77">
        <f t="shared" si="2"/>
        <v>8812</v>
      </c>
      <c r="H77">
        <f t="shared" si="2"/>
        <v>3504</v>
      </c>
      <c r="I77">
        <f t="shared" si="2"/>
        <v>22316</v>
      </c>
    </row>
    <row r="78" spans="2:9" x14ac:dyDescent="0.25">
      <c r="B78" t="s">
        <v>239</v>
      </c>
      <c r="C78">
        <f>'[2]Data Sheet'!E17</f>
        <v>73326</v>
      </c>
      <c r="D78">
        <f>'[2]Data Sheet'!F17</f>
        <v>79839</v>
      </c>
      <c r="E78">
        <f>'[2]Data Sheet'!G17</f>
        <v>146371</v>
      </c>
      <c r="F78">
        <f>'[2]Data Sheet'!H17</f>
        <v>165960</v>
      </c>
      <c r="G78">
        <f>'[2]Data Sheet'!I17</f>
        <v>175006</v>
      </c>
      <c r="H78">
        <f>'[2]Data Sheet'!J17</f>
        <v>168824</v>
      </c>
      <c r="I78">
        <f>'[2]Data Sheet'!K17</f>
        <v>185470</v>
      </c>
    </row>
    <row r="79" spans="2:9" x14ac:dyDescent="0.25">
      <c r="B79" s="163" t="s">
        <v>340</v>
      </c>
      <c r="C79" s="162">
        <f t="shared" ref="C79:I79" si="3">C77/C78</f>
        <v>5.4960041458691322E-2</v>
      </c>
      <c r="D79" s="162">
        <f t="shared" si="3"/>
        <v>9.9086912411227593E-2</v>
      </c>
      <c r="E79" s="162">
        <f t="shared" si="3"/>
        <v>0.14118233803144065</v>
      </c>
      <c r="F79" s="162">
        <f t="shared" si="3"/>
        <v>2.4969872258375513E-2</v>
      </c>
      <c r="G79" s="162">
        <f t="shared" si="3"/>
        <v>5.0352559340822597E-2</v>
      </c>
      <c r="H79" s="162">
        <f t="shared" si="3"/>
        <v>2.0755342842249919E-2</v>
      </c>
      <c r="I79" s="162">
        <f t="shared" si="3"/>
        <v>0.12032134577020542</v>
      </c>
    </row>
    <row r="81" spans="2:9" x14ac:dyDescent="0.25">
      <c r="B81" t="s">
        <v>239</v>
      </c>
      <c r="C81">
        <f t="shared" ref="C81:I81" si="4">C78</f>
        <v>73326</v>
      </c>
      <c r="D81">
        <f t="shared" si="4"/>
        <v>79839</v>
      </c>
      <c r="E81">
        <f t="shared" si="4"/>
        <v>146371</v>
      </c>
      <c r="F81">
        <f t="shared" si="4"/>
        <v>165960</v>
      </c>
      <c r="G81">
        <f t="shared" si="4"/>
        <v>175006</v>
      </c>
      <c r="H81">
        <f t="shared" si="4"/>
        <v>168824</v>
      </c>
      <c r="I81">
        <f t="shared" si="4"/>
        <v>185470</v>
      </c>
    </row>
    <row r="82" spans="2:9" x14ac:dyDescent="0.25">
      <c r="B82" t="s">
        <v>330</v>
      </c>
      <c r="C82">
        <f>('[2]Data Sheet'!E66+'[2]Data Sheet'!D66)/2</f>
        <v>123308.5</v>
      </c>
      <c r="D82">
        <f>('[2]Data Sheet'!F66+'[2]Data Sheet'!E66)/2</f>
        <v>139491.5</v>
      </c>
      <c r="E82">
        <f>('[2]Data Sheet'!G66+'[2]Data Sheet'!F66)/2</f>
        <v>171824</v>
      </c>
      <c r="F82">
        <f>('[2]Data Sheet'!H66+'[2]Data Sheet'!G66)/2</f>
        <v>203512</v>
      </c>
      <c r="G82">
        <f>('[2]Data Sheet'!I66+'[2]Data Sheet'!H66)/2</f>
        <v>219218.5</v>
      </c>
      <c r="H82">
        <f>('[2]Data Sheet'!J66+'[2]Data Sheet'!I66)/2</f>
        <v>234171.5</v>
      </c>
      <c r="I82">
        <f>('[2]Data Sheet'!K66+'[2]Data Sheet'!J66)/2</f>
        <v>255060.5</v>
      </c>
    </row>
    <row r="83" spans="2:9" x14ac:dyDescent="0.25">
      <c r="B83" s="163" t="s">
        <v>329</v>
      </c>
      <c r="C83" s="164">
        <f t="shared" ref="C83:I83" si="5">C81/C82</f>
        <v>0.5946548696967362</v>
      </c>
      <c r="D83" s="164">
        <f t="shared" si="5"/>
        <v>0.57235745547219719</v>
      </c>
      <c r="E83" s="164">
        <f t="shared" si="5"/>
        <v>0.85186586274327214</v>
      </c>
      <c r="F83" s="164">
        <f t="shared" si="5"/>
        <v>0.8154801682456071</v>
      </c>
      <c r="G83" s="164">
        <f t="shared" si="5"/>
        <v>0.79831766023396744</v>
      </c>
      <c r="H83" s="164">
        <f t="shared" si="5"/>
        <v>0.72094170298264304</v>
      </c>
      <c r="I83" s="164">
        <f t="shared" si="5"/>
        <v>0.72716081086644146</v>
      </c>
    </row>
    <row r="85" spans="2:9" x14ac:dyDescent="0.25">
      <c r="B85" t="s">
        <v>339</v>
      </c>
      <c r="C85">
        <f t="shared" ref="C85:I85" si="6">C82</f>
        <v>123308.5</v>
      </c>
      <c r="D85">
        <f t="shared" si="6"/>
        <v>139491.5</v>
      </c>
      <c r="E85">
        <f t="shared" si="6"/>
        <v>171824</v>
      </c>
      <c r="F85">
        <f t="shared" si="6"/>
        <v>203512</v>
      </c>
      <c r="G85">
        <f t="shared" si="6"/>
        <v>219218.5</v>
      </c>
      <c r="H85">
        <f t="shared" si="6"/>
        <v>234171.5</v>
      </c>
      <c r="I85">
        <f t="shared" si="6"/>
        <v>255060.5</v>
      </c>
    </row>
    <row r="86" spans="2:9" x14ac:dyDescent="0.25">
      <c r="B86" t="s">
        <v>338</v>
      </c>
      <c r="C86">
        <f t="shared" ref="C86:I86" si="7">C71</f>
        <v>53996.5</v>
      </c>
      <c r="D86">
        <f t="shared" si="7"/>
        <v>63909.5</v>
      </c>
      <c r="E86">
        <f t="shared" si="7"/>
        <v>90102</v>
      </c>
      <c r="F86">
        <f t="shared" si="7"/>
        <v>99343.5</v>
      </c>
      <c r="G86">
        <f t="shared" si="7"/>
        <v>110516.5</v>
      </c>
      <c r="H86">
        <f t="shared" si="7"/>
        <v>118330.5</v>
      </c>
      <c r="I86">
        <f t="shared" si="7"/>
        <v>139801</v>
      </c>
    </row>
    <row r="87" spans="2:9" x14ac:dyDescent="0.25">
      <c r="B87" s="163" t="s">
        <v>337</v>
      </c>
      <c r="C87" s="164">
        <f t="shared" ref="C87:I87" si="8">C85/C86</f>
        <v>2.2836387543637087</v>
      </c>
      <c r="D87" s="164">
        <f t="shared" si="8"/>
        <v>2.182641078399925</v>
      </c>
      <c r="E87" s="164">
        <f t="shared" si="8"/>
        <v>1.9069942953541541</v>
      </c>
      <c r="F87" s="164">
        <f t="shared" si="8"/>
        <v>2.0485688545299894</v>
      </c>
      <c r="G87" s="164">
        <f t="shared" si="8"/>
        <v>1.983581637131107</v>
      </c>
      <c r="H87" s="164">
        <f t="shared" si="8"/>
        <v>1.9789614680914895</v>
      </c>
      <c r="I87" s="164">
        <f t="shared" si="8"/>
        <v>1.8244540453930944</v>
      </c>
    </row>
    <row r="89" spans="2:9" x14ac:dyDescent="0.25">
      <c r="B89" s="163" t="s">
        <v>336</v>
      </c>
      <c r="C89" s="162">
        <f t="shared" ref="C89:I89" si="9">C79*C83*C87</f>
        <v>7.463446704879019E-2</v>
      </c>
      <c r="D89" s="162">
        <f t="shared" si="9"/>
        <v>0.12378441389777732</v>
      </c>
      <c r="E89" s="162">
        <f t="shared" si="9"/>
        <v>0.22935117977403383</v>
      </c>
      <c r="F89" s="162">
        <f t="shared" si="9"/>
        <v>4.1713851434668596E-2</v>
      </c>
      <c r="G89" s="162">
        <f t="shared" si="9"/>
        <v>7.9734700248379198E-2</v>
      </c>
      <c r="H89" s="162">
        <f t="shared" si="9"/>
        <v>2.9611976624792428E-2</v>
      </c>
      <c r="I89" s="162">
        <f t="shared" si="9"/>
        <v>0.15962689823391821</v>
      </c>
    </row>
    <row r="92" spans="2:9" x14ac:dyDescent="0.25">
      <c r="B92" s="193" t="s">
        <v>335</v>
      </c>
      <c r="C92" s="193"/>
      <c r="D92" s="193"/>
      <c r="E92" s="193"/>
      <c r="F92" s="193"/>
      <c r="G92" s="193"/>
      <c r="H92" s="193"/>
      <c r="I92" s="193"/>
    </row>
    <row r="93" spans="2:9" x14ac:dyDescent="0.25">
      <c r="B93" s="166" t="s">
        <v>209</v>
      </c>
      <c r="C93" s="165">
        <f>'[2]Data Sheet'!E81</f>
        <v>43921</v>
      </c>
      <c r="D93" s="165">
        <f>'[2]Data Sheet'!F81</f>
        <v>44286</v>
      </c>
      <c r="E93" s="165">
        <f>'[2]Data Sheet'!G81</f>
        <v>44651</v>
      </c>
      <c r="F93" s="165">
        <f>'[2]Data Sheet'!H81</f>
        <v>45016</v>
      </c>
      <c r="G93" s="165">
        <f>'[2]Data Sheet'!I81</f>
        <v>45382</v>
      </c>
      <c r="H93" s="165">
        <f>'[2]Data Sheet'!J81</f>
        <v>45747</v>
      </c>
      <c r="I93" s="165">
        <f>'[2]Data Sheet'!K81</f>
        <v>46112</v>
      </c>
    </row>
    <row r="95" spans="2:9" x14ac:dyDescent="0.25">
      <c r="B95" t="s">
        <v>302</v>
      </c>
      <c r="C95">
        <f t="shared" ref="C95:I95" si="10">C70</f>
        <v>4030</v>
      </c>
      <c r="D95">
        <f t="shared" si="10"/>
        <v>7911</v>
      </c>
      <c r="E95">
        <f t="shared" si="10"/>
        <v>20665</v>
      </c>
      <c r="F95">
        <f t="shared" si="10"/>
        <v>4144</v>
      </c>
      <c r="G95">
        <f t="shared" si="10"/>
        <v>8812</v>
      </c>
      <c r="H95">
        <f t="shared" si="10"/>
        <v>3504</v>
      </c>
      <c r="I95">
        <f t="shared" si="10"/>
        <v>22316</v>
      </c>
    </row>
    <row r="96" spans="2:9" x14ac:dyDescent="0.25">
      <c r="B96" t="s">
        <v>334</v>
      </c>
      <c r="C96">
        <f t="shared" ref="C96:I96" si="11">C82</f>
        <v>123308.5</v>
      </c>
      <c r="D96">
        <f t="shared" si="11"/>
        <v>139491.5</v>
      </c>
      <c r="E96">
        <f t="shared" si="11"/>
        <v>171824</v>
      </c>
      <c r="F96">
        <f t="shared" si="11"/>
        <v>203512</v>
      </c>
      <c r="G96">
        <f t="shared" si="11"/>
        <v>219218.5</v>
      </c>
      <c r="H96">
        <f t="shared" si="11"/>
        <v>234171.5</v>
      </c>
      <c r="I96">
        <f t="shared" si="11"/>
        <v>255060.5</v>
      </c>
    </row>
    <row r="97" spans="2:9" x14ac:dyDescent="0.25">
      <c r="B97" s="163" t="s">
        <v>333</v>
      </c>
      <c r="C97" s="162">
        <f t="shared" ref="C97:I97" si="12">C95/C96</f>
        <v>3.2682256292145308E-2</v>
      </c>
      <c r="D97" s="162">
        <f t="shared" si="12"/>
        <v>5.6713133058286708E-2</v>
      </c>
      <c r="E97" s="162">
        <f t="shared" si="12"/>
        <v>0.12026841419126548</v>
      </c>
      <c r="F97" s="162">
        <f t="shared" si="12"/>
        <v>2.0362435630331382E-2</v>
      </c>
      <c r="G97" s="162">
        <f t="shared" si="12"/>
        <v>4.0197337359757501E-2</v>
      </c>
      <c r="H97" s="162">
        <f t="shared" si="12"/>
        <v>1.4963392214680266E-2</v>
      </c>
      <c r="I97" s="162">
        <f t="shared" si="12"/>
        <v>8.7492967354804052E-2</v>
      </c>
    </row>
    <row r="99" spans="2:9" x14ac:dyDescent="0.25">
      <c r="B99" s="193" t="s">
        <v>332</v>
      </c>
      <c r="C99" s="193"/>
      <c r="D99" s="193"/>
      <c r="E99" s="193"/>
      <c r="F99" s="193"/>
      <c r="G99" s="193"/>
      <c r="H99" s="193"/>
      <c r="I99" s="193"/>
    </row>
    <row r="100" spans="2:9" x14ac:dyDescent="0.25">
      <c r="B100" s="166" t="s">
        <v>209</v>
      </c>
      <c r="C100" s="165">
        <f t="shared" ref="C100:I100" si="13">C93</f>
        <v>43921</v>
      </c>
      <c r="D100" s="165">
        <f t="shared" si="13"/>
        <v>44286</v>
      </c>
      <c r="E100" s="165">
        <f t="shared" si="13"/>
        <v>44651</v>
      </c>
      <c r="F100" s="165">
        <f t="shared" si="13"/>
        <v>45016</v>
      </c>
      <c r="G100" s="165">
        <f t="shared" si="13"/>
        <v>45382</v>
      </c>
      <c r="H100" s="165">
        <f t="shared" si="13"/>
        <v>45747</v>
      </c>
      <c r="I100" s="165">
        <f t="shared" si="13"/>
        <v>46112</v>
      </c>
    </row>
    <row r="102" spans="2:9" x14ac:dyDescent="0.25">
      <c r="B102" t="s">
        <v>302</v>
      </c>
      <c r="C102">
        <f t="shared" ref="C102:I103" si="14">C77</f>
        <v>4030</v>
      </c>
      <c r="D102">
        <f t="shared" si="14"/>
        <v>7911</v>
      </c>
      <c r="E102">
        <f t="shared" si="14"/>
        <v>20665</v>
      </c>
      <c r="F102">
        <f t="shared" si="14"/>
        <v>4144</v>
      </c>
      <c r="G102">
        <f t="shared" si="14"/>
        <v>8812</v>
      </c>
      <c r="H102">
        <f t="shared" si="14"/>
        <v>3504</v>
      </c>
      <c r="I102">
        <f t="shared" si="14"/>
        <v>22316</v>
      </c>
    </row>
    <row r="103" spans="2:9" x14ac:dyDescent="0.25">
      <c r="B103" t="s">
        <v>239</v>
      </c>
      <c r="C103">
        <f t="shared" si="14"/>
        <v>73326</v>
      </c>
      <c r="D103">
        <f t="shared" si="14"/>
        <v>79839</v>
      </c>
      <c r="E103">
        <f t="shared" si="14"/>
        <v>146371</v>
      </c>
      <c r="F103">
        <f t="shared" si="14"/>
        <v>165960</v>
      </c>
      <c r="G103">
        <f t="shared" si="14"/>
        <v>175006</v>
      </c>
      <c r="H103">
        <f t="shared" si="14"/>
        <v>168824</v>
      </c>
      <c r="I103">
        <f t="shared" si="14"/>
        <v>185470</v>
      </c>
    </row>
    <row r="104" spans="2:9" x14ac:dyDescent="0.25">
      <c r="B104" s="163" t="s">
        <v>331</v>
      </c>
      <c r="C104" s="162">
        <f t="shared" ref="C104:I104" si="15">C102/C103</f>
        <v>5.4960041458691322E-2</v>
      </c>
      <c r="D104" s="162">
        <f t="shared" si="15"/>
        <v>9.9086912411227593E-2</v>
      </c>
      <c r="E104" s="162">
        <f t="shared" si="15"/>
        <v>0.14118233803144065</v>
      </c>
      <c r="F104" s="162">
        <f t="shared" si="15"/>
        <v>2.4969872258375513E-2</v>
      </c>
      <c r="G104" s="162">
        <f t="shared" si="15"/>
        <v>5.0352559340822597E-2</v>
      </c>
      <c r="H104" s="162">
        <f t="shared" si="15"/>
        <v>2.0755342842249919E-2</v>
      </c>
      <c r="I104" s="162">
        <f t="shared" si="15"/>
        <v>0.12032134577020542</v>
      </c>
    </row>
    <row r="106" spans="2:9" x14ac:dyDescent="0.25">
      <c r="B106" t="s">
        <v>239</v>
      </c>
      <c r="C106">
        <f t="shared" ref="C106:I106" si="16">C81</f>
        <v>73326</v>
      </c>
      <c r="D106">
        <f t="shared" si="16"/>
        <v>79839</v>
      </c>
      <c r="E106">
        <f t="shared" si="16"/>
        <v>146371</v>
      </c>
      <c r="F106">
        <f t="shared" si="16"/>
        <v>165960</v>
      </c>
      <c r="G106">
        <f t="shared" si="16"/>
        <v>175006</v>
      </c>
      <c r="H106">
        <f t="shared" si="16"/>
        <v>168824</v>
      </c>
      <c r="I106">
        <f t="shared" si="16"/>
        <v>185470</v>
      </c>
    </row>
    <row r="107" spans="2:9" x14ac:dyDescent="0.25">
      <c r="B107" t="s">
        <v>330</v>
      </c>
      <c r="C107">
        <f t="shared" ref="C107:I107" si="17">C85</f>
        <v>123308.5</v>
      </c>
      <c r="D107">
        <f t="shared" si="17"/>
        <v>139491.5</v>
      </c>
      <c r="E107">
        <f t="shared" si="17"/>
        <v>171824</v>
      </c>
      <c r="F107">
        <f t="shared" si="17"/>
        <v>203512</v>
      </c>
      <c r="G107">
        <f t="shared" si="17"/>
        <v>219218.5</v>
      </c>
      <c r="H107">
        <f t="shared" si="17"/>
        <v>234171.5</v>
      </c>
      <c r="I107">
        <f t="shared" si="17"/>
        <v>255060.5</v>
      </c>
    </row>
    <row r="108" spans="2:9" x14ac:dyDescent="0.25">
      <c r="B108" s="163" t="s">
        <v>329</v>
      </c>
      <c r="C108" s="164">
        <f t="shared" ref="C108:I108" si="18">C106/C107</f>
        <v>0.5946548696967362</v>
      </c>
      <c r="D108" s="164">
        <f t="shared" si="18"/>
        <v>0.57235745547219719</v>
      </c>
      <c r="E108" s="164">
        <f t="shared" si="18"/>
        <v>0.85186586274327214</v>
      </c>
      <c r="F108" s="164">
        <f t="shared" si="18"/>
        <v>0.8154801682456071</v>
      </c>
      <c r="G108" s="164">
        <f t="shared" si="18"/>
        <v>0.79831766023396744</v>
      </c>
      <c r="H108" s="164">
        <f t="shared" si="18"/>
        <v>0.72094170298264304</v>
      </c>
      <c r="I108" s="164">
        <f t="shared" si="18"/>
        <v>0.72716081086644146</v>
      </c>
    </row>
    <row r="110" spans="2:9" x14ac:dyDescent="0.25">
      <c r="B110" s="163" t="s">
        <v>328</v>
      </c>
      <c r="C110" s="162">
        <f t="shared" ref="C110:I110" si="19">C104*C108</f>
        <v>3.2682256292145308E-2</v>
      </c>
      <c r="D110" s="162">
        <f t="shared" si="19"/>
        <v>5.6713133058286701E-2</v>
      </c>
      <c r="E110" s="162">
        <f t="shared" si="19"/>
        <v>0.12026841419126547</v>
      </c>
      <c r="F110" s="162">
        <f t="shared" si="19"/>
        <v>2.0362435630331379E-2</v>
      </c>
      <c r="G110" s="162">
        <f t="shared" si="19"/>
        <v>4.0197337359757501E-2</v>
      </c>
      <c r="H110" s="162">
        <f t="shared" si="19"/>
        <v>1.4963392214680267E-2</v>
      </c>
      <c r="I110" s="162">
        <f t="shared" si="19"/>
        <v>8.7492967354804052E-2</v>
      </c>
    </row>
    <row r="126" spans="2:9" ht="27" customHeight="1" x14ac:dyDescent="0.25">
      <c r="B126" s="161"/>
      <c r="C126" s="161"/>
      <c r="D126" s="161"/>
      <c r="E126" s="161"/>
      <c r="F126" s="161"/>
      <c r="G126" s="161"/>
      <c r="H126" s="161"/>
      <c r="I126" s="161"/>
    </row>
    <row r="128" spans="2:9" ht="10.5" customHeight="1" x14ac:dyDescent="0.25"/>
  </sheetData>
  <mergeCells count="5">
    <mergeCell ref="B67:I67"/>
    <mergeCell ref="B74:I74"/>
    <mergeCell ref="B92:I92"/>
    <mergeCell ref="B99:I99"/>
    <mergeCell ref="B10:I18"/>
  </mergeCells>
  <printOptions horizontalCentered="1" verticalCentered="1"/>
  <pageMargins left="0" right="0.11811023622047245" top="0.19685039370078741" bottom="0.19685039370078741" header="0.31496062992125984" footer="0.31496062992125984"/>
  <pageSetup paperSize="8" scale="119" fitToHeight="0" orientation="portrait" r:id="rId1"/>
  <rowBreaks count="1" manualBreakCount="1">
    <brk id="64" min="1" max="8"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2C04-9EC0-4B6D-AA6E-5708D65F4928}">
  <dimension ref="A2:I41"/>
  <sheetViews>
    <sheetView showGridLines="0" workbookViewId="0">
      <pane ySplit="5" topLeftCell="A30" activePane="bottomLeft" state="frozen"/>
      <selection pane="bottomLeft" activeCell="A6" sqref="A6:XFD6"/>
    </sheetView>
  </sheetViews>
  <sheetFormatPr defaultRowHeight="15" x14ac:dyDescent="0.25"/>
  <cols>
    <col min="1" max="1" width="1.85546875" customWidth="1"/>
    <col min="2" max="2" width="55.140625" customWidth="1"/>
    <col min="3" max="7" width="13.5703125" bestFit="1" customWidth="1"/>
    <col min="8" max="8" width="10.5703125" customWidth="1"/>
    <col min="9" max="9" width="13.5703125" bestFit="1" customWidth="1"/>
  </cols>
  <sheetData>
    <row r="2" spans="2:9" ht="23.25" x14ac:dyDescent="0.35">
      <c r="B2" s="126" t="s">
        <v>327</v>
      </c>
      <c r="C2" s="41"/>
      <c r="D2" s="41"/>
      <c r="E2" s="41"/>
      <c r="F2" s="41"/>
      <c r="G2" s="41"/>
      <c r="H2" s="41"/>
      <c r="I2" s="41"/>
    </row>
    <row r="5" spans="2:9" x14ac:dyDescent="0.25">
      <c r="B5" s="110" t="s">
        <v>209</v>
      </c>
      <c r="C5" s="121">
        <f>'[3]Data Sheet'!E56</f>
        <v>43921</v>
      </c>
      <c r="D5" s="121">
        <f>'[3]Data Sheet'!F56</f>
        <v>44286</v>
      </c>
      <c r="E5" s="121">
        <f>'[3]Data Sheet'!G56</f>
        <v>44651</v>
      </c>
      <c r="F5" s="121">
        <f>'[3]Data Sheet'!H56</f>
        <v>45016</v>
      </c>
      <c r="G5" s="121">
        <f>'[3]Data Sheet'!I56</f>
        <v>45382</v>
      </c>
      <c r="H5" s="121">
        <f>'[3]Data Sheet'!J56</f>
        <v>45747</v>
      </c>
      <c r="I5" s="121">
        <f>'[3]Data Sheet'!K56</f>
        <v>46112</v>
      </c>
    </row>
    <row r="6" spans="2:9" x14ac:dyDescent="0.25">
      <c r="B6" s="105" t="s">
        <v>309</v>
      </c>
      <c r="C6" s="105"/>
      <c r="D6" s="105"/>
      <c r="E6" s="105"/>
      <c r="F6" s="105"/>
      <c r="G6" s="105"/>
      <c r="H6" s="105"/>
      <c r="I6" s="105"/>
    </row>
    <row r="7" spans="2:9" x14ac:dyDescent="0.25">
      <c r="C7" s="151"/>
      <c r="D7" s="151"/>
      <c r="E7" s="151"/>
      <c r="F7" s="151"/>
      <c r="G7" s="151"/>
      <c r="H7" s="151"/>
      <c r="I7" s="151"/>
    </row>
    <row r="8" spans="2:9" x14ac:dyDescent="0.25">
      <c r="B8" t="s">
        <v>30</v>
      </c>
      <c r="C8" s="152">
        <f>'[3]Data Sheet'!E65-'[3]Data Sheet'!E60</f>
        <v>7487</v>
      </c>
      <c r="D8" s="152">
        <f>'[3]Data Sheet'!F65-'[3]Data Sheet'!F60</f>
        <v>7427</v>
      </c>
      <c r="E8" s="152">
        <f>'[3]Data Sheet'!G65-'[3]Data Sheet'!G60</f>
        <v>17809</v>
      </c>
      <c r="F8" s="152">
        <f>'[3]Data Sheet'!H65-'[3]Data Sheet'!H60</f>
        <v>15124</v>
      </c>
      <c r="G8" s="152">
        <f>'[3]Data Sheet'!I65-'[3]Data Sheet'!I60</f>
        <v>16270</v>
      </c>
      <c r="H8" s="152">
        <f>'[3]Data Sheet'!J65-'[3]Data Sheet'!J60</f>
        <v>17558</v>
      </c>
      <c r="I8" s="152">
        <f>'[3]Data Sheet'!K65-'[3]Data Sheet'!K60</f>
        <v>49701</v>
      </c>
    </row>
    <row r="9" spans="2:9" x14ac:dyDescent="0.25">
      <c r="B9" t="s">
        <v>310</v>
      </c>
      <c r="C9" s="152">
        <f>'[3]Data Sheet'!E66</f>
        <v>131820</v>
      </c>
      <c r="D9" s="152">
        <f>'[3]Data Sheet'!F66</f>
        <v>147163</v>
      </c>
      <c r="E9" s="152">
        <f>'[3]Data Sheet'!G66</f>
        <v>196485</v>
      </c>
      <c r="F9" s="152">
        <f>'[3]Data Sheet'!H66</f>
        <v>210539</v>
      </c>
      <c r="G9" s="152">
        <f>'[3]Data Sheet'!I66</f>
        <v>227898</v>
      </c>
      <c r="H9" s="152">
        <f>'[3]Data Sheet'!J66</f>
        <v>240445</v>
      </c>
      <c r="I9" s="152">
        <f>'[3]Data Sheet'!K66</f>
        <v>269676</v>
      </c>
    </row>
    <row r="10" spans="2:9" x14ac:dyDescent="0.25">
      <c r="B10" s="153" t="s">
        <v>311</v>
      </c>
      <c r="C10" s="154">
        <f>C8/C9</f>
        <v>5.6797147625549993E-2</v>
      </c>
      <c r="D10" s="154">
        <f t="shared" ref="D10:I10" si="0">D8/D9</f>
        <v>5.0467848576068716E-2</v>
      </c>
      <c r="E10" s="154">
        <f t="shared" si="0"/>
        <v>9.0637962185408552E-2</v>
      </c>
      <c r="F10" s="154">
        <f t="shared" si="0"/>
        <v>7.1834671961014354E-2</v>
      </c>
      <c r="G10" s="154">
        <f t="shared" si="0"/>
        <v>7.1391587464567488E-2</v>
      </c>
      <c r="H10" s="154">
        <f t="shared" si="0"/>
        <v>7.3022936638316452E-2</v>
      </c>
      <c r="I10" s="154">
        <f t="shared" si="0"/>
        <v>0.18429893650157966</v>
      </c>
    </row>
    <row r="12" spans="2:9" x14ac:dyDescent="0.25">
      <c r="B12" s="105" t="s">
        <v>312</v>
      </c>
      <c r="C12" s="105"/>
      <c r="D12" s="105"/>
      <c r="E12" s="105"/>
      <c r="F12" s="105"/>
      <c r="G12" s="105"/>
      <c r="H12" s="105"/>
      <c r="I12" s="105"/>
    </row>
    <row r="13" spans="2:9" x14ac:dyDescent="0.25">
      <c r="B13" t="s">
        <v>313</v>
      </c>
      <c r="C13" s="152">
        <f>[3]Historical!F48*[3]Historical!F37</f>
        <v>3317</v>
      </c>
      <c r="D13" s="152">
        <f>[3]Historical!G48*[3]Historical!G37</f>
        <v>5910</v>
      </c>
      <c r="E13" s="152">
        <f>[3]Historical!H48*[3]Historical!H37</f>
        <v>15715.65</v>
      </c>
      <c r="F13" s="152">
        <f>[3]Historical!I48*[3]Historical!I37</f>
        <v>3115.6</v>
      </c>
      <c r="G13" s="152">
        <f>[3]Historical!J48*[3]Historical!J37</f>
        <v>6746.5</v>
      </c>
      <c r="H13" s="152">
        <f>[3]Historical!K48*[3]Historical!K37</f>
        <v>2637</v>
      </c>
      <c r="I13" s="152">
        <f>[3]Historical!L48*[3]Historical!L37</f>
        <v>23342.5</v>
      </c>
    </row>
    <row r="14" spans="2:9" x14ac:dyDescent="0.25">
      <c r="B14" t="s">
        <v>310</v>
      </c>
      <c r="C14" s="152">
        <f t="shared" ref="C14:I14" si="1">C9</f>
        <v>131820</v>
      </c>
      <c r="D14" s="152">
        <f t="shared" si="1"/>
        <v>147163</v>
      </c>
      <c r="E14" s="152">
        <f t="shared" si="1"/>
        <v>196485</v>
      </c>
      <c r="F14" s="152">
        <f t="shared" si="1"/>
        <v>210539</v>
      </c>
      <c r="G14" s="152">
        <f t="shared" si="1"/>
        <v>227898</v>
      </c>
      <c r="H14" s="152">
        <f t="shared" si="1"/>
        <v>240445</v>
      </c>
      <c r="I14" s="152">
        <f t="shared" si="1"/>
        <v>269676</v>
      </c>
    </row>
    <row r="15" spans="2:9" x14ac:dyDescent="0.25">
      <c r="B15" s="153" t="s">
        <v>314</v>
      </c>
      <c r="C15" s="154">
        <f t="shared" ref="C15:H15" si="2">C13/C14</f>
        <v>2.5163101198604158E-2</v>
      </c>
      <c r="D15" s="154">
        <f t="shared" si="2"/>
        <v>4.0159550974089957E-2</v>
      </c>
      <c r="E15" s="154">
        <f t="shared" si="2"/>
        <v>7.9983968241850514E-2</v>
      </c>
      <c r="F15" s="154">
        <f t="shared" si="2"/>
        <v>1.4798208407943421E-2</v>
      </c>
      <c r="G15" s="154">
        <f t="shared" si="2"/>
        <v>2.9603155797769176E-2</v>
      </c>
      <c r="H15" s="154">
        <f t="shared" si="2"/>
        <v>1.0967165048139908E-2</v>
      </c>
      <c r="I15" s="154">
        <f>I13/I14</f>
        <v>8.6557572791052972E-2</v>
      </c>
    </row>
    <row r="17" spans="2:9" x14ac:dyDescent="0.25">
      <c r="B17" s="105" t="s">
        <v>315</v>
      </c>
      <c r="C17" s="105"/>
      <c r="D17" s="105"/>
      <c r="E17" s="105"/>
      <c r="F17" s="105"/>
      <c r="G17" s="105"/>
      <c r="H17" s="105"/>
      <c r="I17" s="105"/>
    </row>
    <row r="18" spans="2:9" x14ac:dyDescent="0.25">
      <c r="B18" t="s">
        <v>210</v>
      </c>
      <c r="C18" s="152">
        <f>[3]Historical!F22-[3]Historical!F28</f>
        <v>7278</v>
      </c>
      <c r="D18" s="152">
        <f>[3]Historical!G22-[3]Historical!G28</f>
        <v>15972</v>
      </c>
      <c r="E18" s="152">
        <f>[3]Historical!H22-[3]Historical!H28</f>
        <v>34713</v>
      </c>
      <c r="F18" s="152">
        <f>[3]Historical!I22-[3]Historical!I28</f>
        <v>12557</v>
      </c>
      <c r="G18" s="152">
        <f>[3]Historical!J22-[3]Historical!J28</f>
        <v>21485</v>
      </c>
      <c r="H18" s="152">
        <f>[3]Historical!K22-[3]Historical!K28</f>
        <v>13489</v>
      </c>
      <c r="I18" s="152">
        <f>[3]Historical!L22-[3]Historical!L28</f>
        <v>38352</v>
      </c>
    </row>
    <row r="19" spans="2:9" x14ac:dyDescent="0.25">
      <c r="B19" t="s">
        <v>310</v>
      </c>
      <c r="C19" s="152">
        <f t="shared" ref="C19:H19" si="3">C14</f>
        <v>131820</v>
      </c>
      <c r="D19" s="152">
        <f t="shared" si="3"/>
        <v>147163</v>
      </c>
      <c r="E19" s="152">
        <f t="shared" si="3"/>
        <v>196485</v>
      </c>
      <c r="F19" s="152">
        <f t="shared" si="3"/>
        <v>210539</v>
      </c>
      <c r="G19" s="152">
        <f t="shared" si="3"/>
        <v>227898</v>
      </c>
      <c r="H19" s="152">
        <f t="shared" si="3"/>
        <v>240445</v>
      </c>
      <c r="I19" s="152">
        <f>I14</f>
        <v>269676</v>
      </c>
    </row>
    <row r="20" spans="2:9" x14ac:dyDescent="0.25">
      <c r="B20" s="153" t="s">
        <v>316</v>
      </c>
      <c r="C20" s="154">
        <f t="shared" ref="C20:H20" si="4">C18/C19</f>
        <v>5.5211652253072369E-2</v>
      </c>
      <c r="D20" s="154">
        <f t="shared" si="4"/>
        <v>0.10853271542439336</v>
      </c>
      <c r="E20" s="154">
        <f t="shared" si="4"/>
        <v>0.1766699748072372</v>
      </c>
      <c r="F20" s="154">
        <f t="shared" si="4"/>
        <v>5.9642156560067258E-2</v>
      </c>
      <c r="G20" s="154">
        <f t="shared" si="4"/>
        <v>9.4274631633450054E-2</v>
      </c>
      <c r="H20" s="154">
        <f t="shared" si="4"/>
        <v>5.6100147642912102E-2</v>
      </c>
      <c r="I20" s="154">
        <f>I18/I19</f>
        <v>0.14221510256752548</v>
      </c>
    </row>
    <row r="22" spans="2:9" x14ac:dyDescent="0.25">
      <c r="B22" s="105" t="s">
        <v>317</v>
      </c>
      <c r="C22" s="105"/>
      <c r="D22" s="105"/>
      <c r="E22" s="105"/>
      <c r="F22" s="105"/>
      <c r="G22" s="105"/>
      <c r="H22" s="105"/>
      <c r="I22" s="105"/>
    </row>
    <row r="23" spans="2:9" x14ac:dyDescent="0.25">
      <c r="B23" t="s">
        <v>318</v>
      </c>
      <c r="C23" s="152">
        <f>'[3]Data Sheet'!E90*'[3]Data Sheet'!E70/10000000</f>
        <v>44046.280161000002</v>
      </c>
      <c r="D23" s="152">
        <f>'[3]Data Sheet'!F90*'[3]Data Sheet'!F70/10000000</f>
        <v>141273.57447836999</v>
      </c>
      <c r="E23" s="152">
        <f>'[3]Data Sheet'!G90*'[3]Data Sheet'!G70/10000000</f>
        <v>221011.46150849498</v>
      </c>
      <c r="F23" s="152">
        <f>'[3]Data Sheet'!H90*'[3]Data Sheet'!H70/10000000</f>
        <v>207837.60619139002</v>
      </c>
      <c r="G23" s="152">
        <f>'[3]Data Sheet'!I90*'[3]Data Sheet'!I70/10000000</f>
        <v>253427.04452338003</v>
      </c>
      <c r="H23" s="152">
        <f>'[3]Data Sheet'!J90*'[3]Data Sheet'!J70/10000000</f>
        <v>324552.67855608003</v>
      </c>
      <c r="I23" s="152">
        <f>'[3]Data Sheet'!B9</f>
        <v>313996.28999999998</v>
      </c>
    </row>
    <row r="24" spans="2:9" x14ac:dyDescent="0.25">
      <c r="B24" t="s">
        <v>319</v>
      </c>
      <c r="C24" s="152">
        <f>'[3]Data Sheet'!E59</f>
        <v>61423</v>
      </c>
      <c r="D24" s="152">
        <f>'[3]Data Sheet'!F59</f>
        <v>66727</v>
      </c>
      <c r="E24" s="152">
        <f>'[3]Data Sheet'!G59</f>
        <v>72237</v>
      </c>
      <c r="F24" s="152">
        <f>'[3]Data Sheet'!H59</f>
        <v>80853</v>
      </c>
      <c r="G24" s="152">
        <f>'[3]Data Sheet'!I59</f>
        <v>87984</v>
      </c>
      <c r="H24" s="152">
        <f>'[3]Data Sheet'!J59</f>
        <v>98752</v>
      </c>
      <c r="I24" s="152">
        <f>'[3]Data Sheet'!K59</f>
        <v>99310</v>
      </c>
    </row>
    <row r="25" spans="2:9" x14ac:dyDescent="0.25">
      <c r="B25" s="153" t="s">
        <v>320</v>
      </c>
      <c r="C25" s="154">
        <f t="shared" ref="C25:H25" si="5">C23/C24</f>
        <v>0.71709750681340867</v>
      </c>
      <c r="D25" s="154">
        <f t="shared" si="5"/>
        <v>2.1171875624315493</v>
      </c>
      <c r="E25" s="154">
        <f t="shared" si="5"/>
        <v>3.0595326703558423</v>
      </c>
      <c r="F25" s="154">
        <f t="shared" si="5"/>
        <v>2.57056146576367</v>
      </c>
      <c r="G25" s="154">
        <f t="shared" si="5"/>
        <v>2.880376483489953</v>
      </c>
      <c r="H25" s="154">
        <f t="shared" si="5"/>
        <v>3.2865428402065784</v>
      </c>
      <c r="I25" s="154">
        <f>I23/I24</f>
        <v>3.1617791763165841</v>
      </c>
    </row>
    <row r="27" spans="2:9" x14ac:dyDescent="0.25">
      <c r="B27" s="105" t="s">
        <v>321</v>
      </c>
      <c r="C27" s="105"/>
      <c r="D27" s="105"/>
      <c r="E27" s="105"/>
      <c r="F27" s="105"/>
      <c r="G27" s="105"/>
      <c r="H27" s="105"/>
      <c r="I27" s="105"/>
    </row>
    <row r="28" spans="2:9" x14ac:dyDescent="0.25">
      <c r="B28" t="s">
        <v>322</v>
      </c>
      <c r="C28" s="152">
        <f>'[3]Data Sheet'!E42</f>
        <v>39684</v>
      </c>
      <c r="D28" s="152">
        <f>'[3]Data Sheet'!F42</f>
        <v>41378</v>
      </c>
      <c r="E28" s="152">
        <f>'[3]Data Sheet'!G42</f>
        <v>44819</v>
      </c>
      <c r="F28" s="152">
        <f>'[3]Data Sheet'!H42</f>
        <v>43147</v>
      </c>
      <c r="G28" s="152">
        <f>'[3]Data Sheet'!I42</f>
        <v>45152</v>
      </c>
      <c r="H28" s="152">
        <f>'[3]Data Sheet'!J42</f>
        <v>45991</v>
      </c>
      <c r="I28" s="152">
        <f>'[3]Data Sheet'!K42</f>
        <v>51180</v>
      </c>
    </row>
    <row r="29" spans="2:9" x14ac:dyDescent="0.25">
      <c r="B29" t="s">
        <v>310</v>
      </c>
      <c r="C29" s="152">
        <f t="shared" ref="C29:I29" si="6">C19</f>
        <v>131820</v>
      </c>
      <c r="D29" s="152">
        <f t="shared" si="6"/>
        <v>147163</v>
      </c>
      <c r="E29" s="152">
        <f t="shared" si="6"/>
        <v>196485</v>
      </c>
      <c r="F29" s="152">
        <f t="shared" si="6"/>
        <v>210539</v>
      </c>
      <c r="G29" s="152">
        <f t="shared" si="6"/>
        <v>227898</v>
      </c>
      <c r="H29" s="152">
        <f t="shared" si="6"/>
        <v>240445</v>
      </c>
      <c r="I29" s="152">
        <f t="shared" si="6"/>
        <v>269676</v>
      </c>
    </row>
    <row r="30" spans="2:9" x14ac:dyDescent="0.25">
      <c r="B30" s="153" t="s">
        <v>323</v>
      </c>
      <c r="C30" s="154">
        <f>C28/C29</f>
        <v>0.30104688211197089</v>
      </c>
      <c r="D30" s="154">
        <f t="shared" ref="D30:I30" si="7">D28/D29</f>
        <v>0.28117121830894992</v>
      </c>
      <c r="E30" s="154">
        <f t="shared" si="7"/>
        <v>0.22810392650838487</v>
      </c>
      <c r="F30" s="154">
        <f t="shared" si="7"/>
        <v>0.20493590261186764</v>
      </c>
      <c r="G30" s="154">
        <f t="shared" si="7"/>
        <v>0.1981237220159896</v>
      </c>
      <c r="H30" s="154">
        <f t="shared" si="7"/>
        <v>0.19127451184262514</v>
      </c>
      <c r="I30" s="154">
        <f t="shared" si="7"/>
        <v>0.18978329551016776</v>
      </c>
    </row>
    <row r="31" spans="2:9" x14ac:dyDescent="0.25">
      <c r="B31" s="153"/>
      <c r="C31" s="154"/>
      <c r="D31" s="154"/>
      <c r="E31" s="154"/>
      <c r="F31" s="154"/>
      <c r="G31" s="154"/>
      <c r="H31" s="154"/>
      <c r="I31" s="154"/>
    </row>
    <row r="33" spans="1:9" ht="21" x14ac:dyDescent="0.35">
      <c r="B33" s="157" t="s">
        <v>324</v>
      </c>
      <c r="C33" s="158"/>
      <c r="D33" s="158"/>
      <c r="E33" s="158"/>
      <c r="F33" s="158"/>
      <c r="G33" s="158"/>
      <c r="H33" s="158"/>
      <c r="I33" s="158"/>
    </row>
    <row r="34" spans="1:9" ht="21" x14ac:dyDescent="0.35">
      <c r="B34" s="157"/>
      <c r="C34" s="158"/>
      <c r="D34" s="158"/>
      <c r="E34" s="158"/>
      <c r="F34" s="158"/>
      <c r="G34" s="158"/>
      <c r="H34" s="158"/>
      <c r="I34" s="158"/>
    </row>
    <row r="35" spans="1:9" x14ac:dyDescent="0.25">
      <c r="B35" s="110" t="s">
        <v>209</v>
      </c>
      <c r="C35" s="121">
        <f t="shared" ref="C35:H35" si="8">C5</f>
        <v>43921</v>
      </c>
      <c r="D35" s="121">
        <f t="shared" si="8"/>
        <v>44286</v>
      </c>
      <c r="E35" s="121">
        <f t="shared" si="8"/>
        <v>44651</v>
      </c>
      <c r="F35" s="121">
        <f t="shared" si="8"/>
        <v>45016</v>
      </c>
      <c r="G35" s="121">
        <f t="shared" si="8"/>
        <v>45382</v>
      </c>
      <c r="H35" s="121">
        <f t="shared" si="8"/>
        <v>45747</v>
      </c>
      <c r="I35" s="121">
        <f>I5</f>
        <v>46112</v>
      </c>
    </row>
    <row r="36" spans="1:9" x14ac:dyDescent="0.25">
      <c r="B36" s="153" t="s">
        <v>325</v>
      </c>
      <c r="C36" s="155">
        <f t="shared" ref="C36:I36" si="9">(C10*1.2)+(C15*1.4)+(C20*3.3)+(C25*0.6)*(C30*1)</f>
        <v>0.41511135242171127</v>
      </c>
      <c r="D36" s="155">
        <f t="shared" si="9"/>
        <v>0.8321180743459673</v>
      </c>
      <c r="E36" s="155">
        <f t="shared" si="9"/>
        <v>1.2224888762582746</v>
      </c>
      <c r="F36" s="155">
        <f t="shared" si="9"/>
        <v>0.61981841529589787</v>
      </c>
      <c r="G36" s="155">
        <f t="shared" si="9"/>
        <v>0.78062315329455734</v>
      </c>
      <c r="H36" s="155">
        <f t="shared" si="9"/>
        <v>0.6652911687012184</v>
      </c>
      <c r="I36" s="155">
        <f t="shared" si="9"/>
        <v>1.1716808872362749</v>
      </c>
    </row>
    <row r="38" spans="1:9" x14ac:dyDescent="0.25">
      <c r="B38" s="156" t="s">
        <v>326</v>
      </c>
      <c r="C38" s="159" t="str">
        <f t="shared" ref="C38:I38" si="10">IF(C36&lt;1.81," Distressed",IF(C36&gt;3,"Strong","Grey Zone"))</f>
        <v xml:space="preserve"> Distressed</v>
      </c>
      <c r="D38" s="159" t="str">
        <f t="shared" si="10"/>
        <v xml:space="preserve"> Distressed</v>
      </c>
      <c r="E38" s="159" t="str">
        <f t="shared" si="10"/>
        <v xml:space="preserve"> Distressed</v>
      </c>
      <c r="F38" s="159" t="str">
        <f t="shared" si="10"/>
        <v xml:space="preserve"> Distressed</v>
      </c>
      <c r="G38" s="159" t="str">
        <f t="shared" si="10"/>
        <v xml:space="preserve"> Distressed</v>
      </c>
      <c r="H38" s="159" t="str">
        <f t="shared" si="10"/>
        <v xml:space="preserve"> Distressed</v>
      </c>
      <c r="I38" s="159" t="str">
        <f t="shared" si="10"/>
        <v xml:space="preserve"> Distressed</v>
      </c>
    </row>
    <row r="41" spans="1:9" x14ac:dyDescent="0.25">
      <c r="A41" s="41"/>
      <c r="B41" s="41"/>
      <c r="C41" s="41"/>
      <c r="D41" s="41"/>
      <c r="E41" s="41"/>
      <c r="F41" s="41"/>
      <c r="G41" s="41"/>
      <c r="H41" s="41"/>
      <c r="I41" s="4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FF47C-E4E4-4CAB-AF55-AA752FF1A214}">
  <dimension ref="A2:I56"/>
  <sheetViews>
    <sheetView showGridLines="0" zoomScaleNormal="100" workbookViewId="0">
      <pane xSplit="1" ySplit="5" topLeftCell="B21" activePane="bottomRight" state="frozen"/>
      <selection pane="topRight" activeCell="B1" sqref="B1"/>
      <selection pane="bottomLeft" activeCell="A6" sqref="A6"/>
      <selection pane="bottomRight" activeCell="B6" sqref="A6:XFD6"/>
    </sheetView>
  </sheetViews>
  <sheetFormatPr defaultRowHeight="15" x14ac:dyDescent="0.25"/>
  <cols>
    <col min="1" max="1" width="1.85546875" customWidth="1"/>
    <col min="2" max="2" width="55.140625" customWidth="1"/>
    <col min="3" max="4" width="13.5703125" customWidth="1"/>
    <col min="5" max="5" width="14" customWidth="1"/>
    <col min="6" max="8" width="13.5703125" customWidth="1"/>
    <col min="9" max="9" width="13.85546875" customWidth="1"/>
  </cols>
  <sheetData>
    <row r="2" spans="2:9" ht="23.25" x14ac:dyDescent="0.35">
      <c r="B2" s="126" t="s">
        <v>350</v>
      </c>
      <c r="C2" s="41"/>
      <c r="D2" s="41"/>
      <c r="E2" s="41"/>
      <c r="F2" s="41"/>
      <c r="G2" s="41"/>
      <c r="H2" s="41"/>
      <c r="I2" s="41"/>
    </row>
    <row r="5" spans="2:9" x14ac:dyDescent="0.25">
      <c r="B5" s="110" t="s">
        <v>209</v>
      </c>
      <c r="C5" s="121">
        <f>'[1]Data sheet'!E56</f>
        <v>43921</v>
      </c>
      <c r="D5" s="121">
        <f>'[1]Data sheet'!F56</f>
        <v>44286</v>
      </c>
      <c r="E5" s="121">
        <f>'[1]Data sheet'!G56</f>
        <v>44651</v>
      </c>
      <c r="F5" s="121">
        <f>'[1]Data sheet'!H56</f>
        <v>45016</v>
      </c>
      <c r="G5" s="121">
        <f>'[1]Data sheet'!I56</f>
        <v>45382</v>
      </c>
      <c r="H5" s="121">
        <f>'[1]Data sheet'!J56</f>
        <v>45747</v>
      </c>
      <c r="I5" s="121">
        <f>'[1]Data sheet'!K56</f>
        <v>46112</v>
      </c>
    </row>
    <row r="6" spans="2:9" x14ac:dyDescent="0.25">
      <c r="B6" s="42"/>
      <c r="C6" s="174"/>
      <c r="D6" s="174"/>
      <c r="E6" s="174"/>
      <c r="F6" s="174"/>
      <c r="G6" s="174"/>
      <c r="H6" s="174"/>
      <c r="I6" s="174"/>
    </row>
    <row r="7" spans="2:9" x14ac:dyDescent="0.25">
      <c r="B7" s="105" t="s">
        <v>351</v>
      </c>
      <c r="C7" s="105"/>
      <c r="D7" s="105"/>
      <c r="E7" s="105"/>
      <c r="F7" s="105"/>
      <c r="G7" s="105"/>
      <c r="H7" s="105"/>
      <c r="I7" s="105"/>
    </row>
    <row r="8" spans="2:9" x14ac:dyDescent="0.25">
      <c r="B8" t="s">
        <v>352</v>
      </c>
      <c r="C8" s="175">
        <f>'Data Sheet'!E67/'Data Sheet'!E17</f>
        <v>6.143796197801598E-2</v>
      </c>
      <c r="D8" s="175">
        <f>'Data Sheet'!F67/'Data Sheet'!F17</f>
        <v>5.6188078507997348E-2</v>
      </c>
      <c r="E8" s="175">
        <f>'Data Sheet'!G67/'Data Sheet'!G17</f>
        <v>5.0945884089061359E-2</v>
      </c>
      <c r="F8" s="175">
        <f>'Data Sheet'!H67/'Data Sheet'!H17</f>
        <v>4.2986261749819232E-2</v>
      </c>
      <c r="G8" s="175">
        <f>'Data Sheet'!I67/'Data Sheet'!I17</f>
        <v>4.3129949830291531E-2</v>
      </c>
      <c r="H8" s="175">
        <f>'Data Sheet'!J67/'Data Sheet'!J17</f>
        <v>4.9844808794958062E-2</v>
      </c>
      <c r="I8" s="175">
        <f>'Data Sheet'!K67/'Data Sheet'!K17</f>
        <v>6.0710627055588502E-2</v>
      </c>
    </row>
    <row r="9" spans="2:9" x14ac:dyDescent="0.25">
      <c r="B9" t="s">
        <v>353</v>
      </c>
      <c r="C9" s="175">
        <f>'Data Sheet'!D67/'Data Sheet'!D17</f>
        <v>8.4476798376535267E-2</v>
      </c>
      <c r="D9" s="175">
        <f>'Data Sheet'!E67/'Data Sheet'!E17</f>
        <v>6.143796197801598E-2</v>
      </c>
      <c r="E9" s="175">
        <f>'Data Sheet'!F67/'Data Sheet'!F17</f>
        <v>5.6188078507997348E-2</v>
      </c>
      <c r="F9" s="175">
        <f>'Data Sheet'!G67/'Data Sheet'!G17</f>
        <v>5.0945884089061359E-2</v>
      </c>
      <c r="G9" s="175">
        <f>'Data Sheet'!H67/'Data Sheet'!H17</f>
        <v>4.2986261749819232E-2</v>
      </c>
      <c r="H9" s="175">
        <f>'Data Sheet'!I67/'Data Sheet'!I17</f>
        <v>4.3129949830291531E-2</v>
      </c>
      <c r="I9" s="175">
        <f>'Data Sheet'!J67/'Data Sheet'!J17</f>
        <v>4.9844808794958062E-2</v>
      </c>
    </row>
    <row r="10" spans="2:9" x14ac:dyDescent="0.25">
      <c r="B10" s="153" t="s">
        <v>351</v>
      </c>
      <c r="C10" s="154">
        <f>C8/C9</f>
        <v>0.72727616527523753</v>
      </c>
      <c r="D10" s="154">
        <f t="shared" ref="D10:H10" si="0">D8/D9</f>
        <v>0.91454984343560797</v>
      </c>
      <c r="E10" s="154">
        <f t="shared" si="0"/>
        <v>0.90670272844105426</v>
      </c>
      <c r="F10" s="154">
        <f t="shared" si="0"/>
        <v>0.84376319144197276</v>
      </c>
      <c r="G10" s="154">
        <f t="shared" si="0"/>
        <v>1.0033426512244439</v>
      </c>
      <c r="H10" s="154">
        <f t="shared" si="0"/>
        <v>1.1556890047655579</v>
      </c>
      <c r="I10" s="154">
        <f>I8/I9</f>
        <v>1.217992977068648</v>
      </c>
    </row>
    <row r="12" spans="2:9" x14ac:dyDescent="0.25">
      <c r="B12" s="105" t="s">
        <v>354</v>
      </c>
      <c r="C12" s="105"/>
      <c r="D12" s="105"/>
      <c r="E12" s="105"/>
      <c r="F12" s="105"/>
      <c r="G12" s="105"/>
      <c r="H12" s="105"/>
      <c r="I12" s="105"/>
    </row>
    <row r="13" spans="2:9" x14ac:dyDescent="0.25">
      <c r="B13" t="s">
        <v>355</v>
      </c>
      <c r="C13" s="175">
        <f>Historical!E14</f>
        <v>0.2578076147102894</v>
      </c>
      <c r="D13" s="175">
        <f>Historical!F14</f>
        <v>0.2078662411695715</v>
      </c>
      <c r="E13" s="175">
        <f>Historical!G14</f>
        <v>0.28298200127757112</v>
      </c>
      <c r="F13" s="175">
        <f>Historical!H14</f>
        <v>0.29099343449180509</v>
      </c>
      <c r="G13" s="175">
        <f>Historical!I14</f>
        <v>0.15084960231381056</v>
      </c>
      <c r="H13" s="175">
        <f>Historical!J14</f>
        <v>0.19373621475835115</v>
      </c>
      <c r="I13" s="175">
        <f>Historical!K14</f>
        <v>0.17128488840449224</v>
      </c>
    </row>
    <row r="14" spans="2:9" x14ac:dyDescent="0.25">
      <c r="B14" t="s">
        <v>356</v>
      </c>
      <c r="C14" s="175">
        <f>Historical!F14</f>
        <v>0.2078662411695715</v>
      </c>
      <c r="D14" s="175">
        <f>Historical!G14</f>
        <v>0.28298200127757112</v>
      </c>
      <c r="E14" s="175">
        <f>Historical!H14</f>
        <v>0.29099343449180509</v>
      </c>
      <c r="F14" s="175">
        <f>Historical!I14</f>
        <v>0.15084960231381056</v>
      </c>
      <c r="G14" s="175">
        <f>Historical!J14</f>
        <v>0.19373621475835115</v>
      </c>
      <c r="H14" s="175">
        <f>Historical!K14</f>
        <v>0.17128488840449224</v>
      </c>
      <c r="I14" s="175">
        <f>Historical!L14</f>
        <v>0.36362754084218474</v>
      </c>
    </row>
    <row r="15" spans="2:9" x14ac:dyDescent="0.25">
      <c r="B15" s="153" t="s">
        <v>354</v>
      </c>
      <c r="C15" s="154">
        <f t="shared" ref="C15:H15" si="1">C13/C14</f>
        <v>1.2402572599558248</v>
      </c>
      <c r="D15" s="154">
        <f t="shared" si="1"/>
        <v>0.7345564036974912</v>
      </c>
      <c r="E15" s="154">
        <f t="shared" si="1"/>
        <v>0.97246868051086699</v>
      </c>
      <c r="F15" s="154">
        <f t="shared" si="1"/>
        <v>1.9290301732877959</v>
      </c>
      <c r="G15" s="154">
        <f t="shared" si="1"/>
        <v>0.77863399211121453</v>
      </c>
      <c r="H15" s="154">
        <f t="shared" si="1"/>
        <v>1.1310759318174042</v>
      </c>
      <c r="I15" s="154">
        <f>I13/I14</f>
        <v>0.4710448719252272</v>
      </c>
    </row>
    <row r="17" spans="2:9" x14ac:dyDescent="0.25">
      <c r="B17" s="105" t="s">
        <v>357</v>
      </c>
      <c r="C17" s="105"/>
      <c r="D17" s="105"/>
      <c r="E17" s="105"/>
      <c r="F17" s="105"/>
      <c r="G17" s="105"/>
      <c r="H17" s="105"/>
      <c r="I17" s="105"/>
    </row>
    <row r="18" spans="2:9" x14ac:dyDescent="0.25">
      <c r="B18" t="s">
        <v>358</v>
      </c>
      <c r="C18" s="175">
        <f>(Historical!F69-Historical!F67-Historical!F58)/Historical!F69</f>
        <v>0.2993020785920194</v>
      </c>
      <c r="D18" s="175">
        <f>(Historical!G69-Historical!G67-Historical!G58)/Historical!G69</f>
        <v>0.34450235453204947</v>
      </c>
      <c r="E18" s="175">
        <f>(Historical!H69-Historical!H67-Historical!H58)/Historical!H69</f>
        <v>0.19328701936534595</v>
      </c>
      <c r="F18" s="175">
        <f>(Historical!I69-Historical!I67-Historical!I58)/Historical!I69</f>
        <v>0.21423109257667225</v>
      </c>
      <c r="G18" s="175">
        <f>(Historical!J69-Historical!J67-Historical!J58)/Historical!J69</f>
        <v>0.25329752784140275</v>
      </c>
      <c r="H18" s="175">
        <f>(Historical!K69-Historical!K67-Historical!K58)/Historical!K69</f>
        <v>0.24672170350807876</v>
      </c>
      <c r="I18" s="175">
        <f>(Historical!L69-Historical!L67-Historical!L58)/Historical!L69</f>
        <v>0.24885418057224223</v>
      </c>
    </row>
    <row r="19" spans="2:9" x14ac:dyDescent="0.25">
      <c r="B19" t="s">
        <v>359</v>
      </c>
      <c r="C19" s="175">
        <f>(Historical!E69-Historical!E67-Historical!E58)/Historical!E69</f>
        <v>0.21131214230337031</v>
      </c>
      <c r="D19" s="175">
        <f>(Historical!F69-Historical!F67-Historical!F58)/Historical!F69</f>
        <v>0.2993020785920194</v>
      </c>
      <c r="E19" s="175">
        <f>(Historical!G69-Historical!G67-Historical!G58)/Historical!G69</f>
        <v>0.34450235453204947</v>
      </c>
      <c r="F19" s="175">
        <f>(Historical!H69-Historical!H67-Historical!H58)/Historical!H69</f>
        <v>0.19328701936534595</v>
      </c>
      <c r="G19" s="175">
        <f>(Historical!I69-Historical!I67-Historical!I58)/Historical!I69</f>
        <v>0.21423109257667225</v>
      </c>
      <c r="H19" s="175">
        <f>(Historical!J69-Historical!J67-Historical!J58)/Historical!J69</f>
        <v>0.25329752784140275</v>
      </c>
      <c r="I19" s="175">
        <f>(Historical!K69-Historical!K67-Historical!K58)/Historical!K69</f>
        <v>0.24672170350807876</v>
      </c>
    </row>
    <row r="20" spans="2:9" x14ac:dyDescent="0.25">
      <c r="B20" s="153" t="s">
        <v>357</v>
      </c>
      <c r="C20" s="154">
        <f t="shared" ref="C20:H20" si="2">C18/C19</f>
        <v>1.4163979188774034</v>
      </c>
      <c r="D20" s="154">
        <f t="shared" si="2"/>
        <v>1.15101891758541</v>
      </c>
      <c r="E20" s="154">
        <f t="shared" si="2"/>
        <v>0.56106153360807942</v>
      </c>
      <c r="F20" s="154">
        <f t="shared" si="2"/>
        <v>1.1083573707127139</v>
      </c>
      <c r="G20" s="154">
        <f t="shared" si="2"/>
        <v>1.1823565141495453</v>
      </c>
      <c r="H20" s="154">
        <f t="shared" si="2"/>
        <v>0.97403912944053161</v>
      </c>
      <c r="I20" s="154">
        <f>I18/I19</f>
        <v>1.008643248785341</v>
      </c>
    </row>
    <row r="22" spans="2:9" x14ac:dyDescent="0.25">
      <c r="B22" s="105" t="s">
        <v>360</v>
      </c>
      <c r="C22" s="105"/>
      <c r="D22" s="105"/>
      <c r="E22" s="105"/>
      <c r="F22" s="105"/>
      <c r="G22" s="105"/>
      <c r="H22" s="105"/>
      <c r="I22" s="105"/>
    </row>
    <row r="23" spans="2:9" x14ac:dyDescent="0.25">
      <c r="B23" t="s">
        <v>361</v>
      </c>
      <c r="C23" s="175">
        <f>Historical!F8</f>
        <v>-0.13486791651427021</v>
      </c>
      <c r="D23" s="175">
        <f>Historical!G8</f>
        <v>8.8822518615497836E-2</v>
      </c>
      <c r="E23" s="175">
        <f>Historical!H8</f>
        <v>0.83332707072984391</v>
      </c>
      <c r="F23" s="175">
        <f>Historical!I8</f>
        <v>0.13383115507853338</v>
      </c>
      <c r="G23" s="175">
        <f>Historical!J8</f>
        <v>5.4507110147023363E-2</v>
      </c>
      <c r="H23" s="175">
        <f>Historical!K8</f>
        <v>-3.5324503159891663E-2</v>
      </c>
      <c r="I23" s="175">
        <f>Historical!L8</f>
        <v>9.8599725157560547E-2</v>
      </c>
    </row>
    <row r="24" spans="2:9" x14ac:dyDescent="0.25">
      <c r="B24" t="s">
        <v>362</v>
      </c>
      <c r="C24" s="175">
        <f>Historical!E8</f>
        <v>0.17827700777112043</v>
      </c>
      <c r="D24" s="175">
        <f>Historical!F8</f>
        <v>-0.13486791651427021</v>
      </c>
      <c r="E24" s="175">
        <f>Historical!G8</f>
        <v>8.8822518615497836E-2</v>
      </c>
      <c r="F24" s="175">
        <f>Historical!H8</f>
        <v>0.83332707072984391</v>
      </c>
      <c r="G24" s="175">
        <f>Historical!I8</f>
        <v>0.13383115507853338</v>
      </c>
      <c r="H24" s="175">
        <f>Historical!J8</f>
        <v>5.4507110147023363E-2</v>
      </c>
      <c r="I24" s="175">
        <f>Historical!K8</f>
        <v>-3.5324503159891663E-2</v>
      </c>
    </row>
    <row r="25" spans="2:9" x14ac:dyDescent="0.25">
      <c r="B25" s="153" t="s">
        <v>360</v>
      </c>
      <c r="C25" s="154">
        <f t="shared" ref="C25:H25" si="3">C23/C24</f>
        <v>-0.7565076293372579</v>
      </c>
      <c r="D25" s="154">
        <f t="shared" si="3"/>
        <v>-0.6585889432502624</v>
      </c>
      <c r="E25" s="154">
        <f t="shared" si="3"/>
        <v>9.3819347133942248</v>
      </c>
      <c r="F25" s="154">
        <f t="shared" si="3"/>
        <v>0.16059859301261084</v>
      </c>
      <c r="G25" s="154">
        <f t="shared" si="3"/>
        <v>0.40728266983153572</v>
      </c>
      <c r="H25" s="154">
        <f t="shared" si="3"/>
        <v>-0.64807147296215151</v>
      </c>
      <c r="I25" s="154">
        <f>I23/I24</f>
        <v>-2.7912558235076093</v>
      </c>
    </row>
    <row r="27" spans="2:9" x14ac:dyDescent="0.25">
      <c r="B27" s="105" t="s">
        <v>363</v>
      </c>
      <c r="C27" s="105"/>
      <c r="D27" s="105"/>
      <c r="E27" s="105"/>
      <c r="F27" s="105"/>
      <c r="G27" s="105"/>
      <c r="H27" s="105"/>
      <c r="I27" s="105"/>
    </row>
    <row r="28" spans="2:9" x14ac:dyDescent="0.25">
      <c r="B28" t="s">
        <v>364</v>
      </c>
      <c r="C28" s="175">
        <f>Historical!E25/(Historical!E25+Historical!E58)</f>
        <v>6.059833545774912E-2</v>
      </c>
      <c r="D28" s="175">
        <f>Historical!F25/(Historical!F25+Historical!F58)</f>
        <v>6.4012301940269259E-2</v>
      </c>
      <c r="E28" s="175">
        <f>Historical!G25/(Historical!G25+Historical!G58)</f>
        <v>6.7230875337663087E-2</v>
      </c>
      <c r="F28" s="175">
        <f>Historical!H25/(Historical!H25+Historical!H58)</f>
        <v>5.6676835315117913E-2</v>
      </c>
      <c r="G28" s="175">
        <f>Historical!I25/(Historical!I25+Historical!I58)</f>
        <v>6.6776262887979554E-2</v>
      </c>
      <c r="H28" s="175">
        <f>Historical!J25/(Historical!J25+Historical!J58)</f>
        <v>6.7742657481783597E-2</v>
      </c>
      <c r="I28" s="175">
        <f>Historical!K25/(Historical!K25+Historical!K58)</f>
        <v>6.95869930854046E-2</v>
      </c>
    </row>
    <row r="29" spans="2:9" x14ac:dyDescent="0.25">
      <c r="B29" t="s">
        <v>365</v>
      </c>
      <c r="C29" s="175">
        <f>Historical!F25/(Historical!F25+Historical!F58)</f>
        <v>6.4012301940269259E-2</v>
      </c>
      <c r="D29" s="175">
        <f>Historical!G25/(Historical!G25+Historical!G58)</f>
        <v>6.7230875337663087E-2</v>
      </c>
      <c r="E29" s="175">
        <f>Historical!H25/(Historical!H25+Historical!H58)</f>
        <v>5.6676835315117913E-2</v>
      </c>
      <c r="F29" s="175">
        <f>Historical!I25/(Historical!I25+Historical!I58)</f>
        <v>6.6776262887979554E-2</v>
      </c>
      <c r="G29" s="175">
        <f>Historical!J25/(Historical!J25+Historical!J58)</f>
        <v>6.7742657481783597E-2</v>
      </c>
      <c r="H29" s="175">
        <f>Historical!K25/(Historical!K25+Historical!K58)</f>
        <v>6.95869930854046E-2</v>
      </c>
      <c r="I29" s="175">
        <f>Historical!L25/(Historical!L25+Historical!L58)</f>
        <v>7.5507459517274458E-2</v>
      </c>
    </row>
    <row r="30" spans="2:9" x14ac:dyDescent="0.25">
      <c r="B30" s="153" t="s">
        <v>363</v>
      </c>
      <c r="C30" s="154">
        <f>C28/C29</f>
        <v>0.94666702525858615</v>
      </c>
      <c r="D30" s="154">
        <f t="shared" ref="D30:I30" si="4">D28/D29</f>
        <v>0.95212655820367154</v>
      </c>
      <c r="E30" s="154">
        <f t="shared" si="4"/>
        <v>1.1862143495462598</v>
      </c>
      <c r="F30" s="154">
        <f t="shared" si="4"/>
        <v>0.84875722096332462</v>
      </c>
      <c r="G30" s="154">
        <f t="shared" si="4"/>
        <v>0.98573432708830599</v>
      </c>
      <c r="H30" s="154">
        <f t="shared" si="4"/>
        <v>0.97349597213724359</v>
      </c>
      <c r="I30" s="154">
        <f t="shared" si="4"/>
        <v>0.92159097300160941</v>
      </c>
    </row>
    <row r="31" spans="2:9" x14ac:dyDescent="0.25">
      <c r="B31" s="176"/>
      <c r="C31" s="177"/>
      <c r="D31" s="177"/>
      <c r="E31" s="177"/>
      <c r="F31" s="177"/>
      <c r="G31" s="177"/>
      <c r="H31" s="177"/>
      <c r="I31" s="177"/>
    </row>
    <row r="32" spans="2:9" x14ac:dyDescent="0.25">
      <c r="B32" s="105" t="s">
        <v>366</v>
      </c>
      <c r="C32" s="105"/>
      <c r="D32" s="105"/>
      <c r="E32" s="105"/>
      <c r="F32" s="105"/>
      <c r="G32" s="105"/>
      <c r="H32" s="105"/>
      <c r="I32" s="105"/>
    </row>
    <row r="33" spans="2:9" x14ac:dyDescent="0.25">
      <c r="B33" t="s">
        <v>367</v>
      </c>
      <c r="C33" s="175">
        <f>Historical!F17</f>
        <v>4.6763767285819491E-2</v>
      </c>
      <c r="D33" s="175">
        <f>Historical!G17</f>
        <v>3.024837485439447E-2</v>
      </c>
      <c r="E33" s="175">
        <f>Historical!H17</f>
        <v>2.3768369417439247E-2</v>
      </c>
      <c r="F33" s="175">
        <f>Historical!I17</f>
        <v>3.9557724752952515E-2</v>
      </c>
      <c r="G33" s="175">
        <f>Historical!J17</f>
        <v>3.2844588185547925E-2</v>
      </c>
      <c r="H33" s="175">
        <f>Historical!K17</f>
        <v>3.6677249680140266E-2</v>
      </c>
      <c r="I33" s="175">
        <f>Historical!L17</f>
        <v>0.20540249096888985</v>
      </c>
    </row>
    <row r="34" spans="2:9" x14ac:dyDescent="0.25">
      <c r="B34" t="s">
        <v>368</v>
      </c>
      <c r="C34" s="175">
        <f>Historical!E17</f>
        <v>3.4463230175678705E-2</v>
      </c>
      <c r="D34" s="175">
        <f>Historical!F17</f>
        <v>4.6763767285819491E-2</v>
      </c>
      <c r="E34" s="175">
        <f>Historical!G17</f>
        <v>3.024837485439447E-2</v>
      </c>
      <c r="F34" s="175">
        <f>Historical!H17</f>
        <v>2.3768369417439247E-2</v>
      </c>
      <c r="G34" s="175">
        <f>Historical!I17</f>
        <v>3.9557724752952515E-2</v>
      </c>
      <c r="H34" s="175">
        <f>Historical!J17</f>
        <v>3.2844588185547925E-2</v>
      </c>
      <c r="I34" s="175">
        <f>Historical!K17</f>
        <v>3.6677249680140266E-2</v>
      </c>
    </row>
    <row r="35" spans="2:9" x14ac:dyDescent="0.25">
      <c r="B35" s="153" t="s">
        <v>366</v>
      </c>
      <c r="C35" s="154">
        <f t="shared" ref="C35:I35" si="5">C33/C34</f>
        <v>1.3569177075810348</v>
      </c>
      <c r="D35" s="154">
        <f t="shared" si="5"/>
        <v>0.64683357672013087</v>
      </c>
      <c r="E35" s="154">
        <f t="shared" si="5"/>
        <v>0.78577343516311882</v>
      </c>
      <c r="F35" s="154">
        <f t="shared" si="5"/>
        <v>1.6643011583254994</v>
      </c>
      <c r="G35" s="154">
        <f t="shared" si="5"/>
        <v>0.8302951797827165</v>
      </c>
      <c r="H35" s="154">
        <f t="shared" si="5"/>
        <v>1.1166908068063026</v>
      </c>
      <c r="I35" s="154">
        <f t="shared" si="5"/>
        <v>5.6002697246982978</v>
      </c>
    </row>
    <row r="36" spans="2:9" x14ac:dyDescent="0.25">
      <c r="B36" s="176"/>
      <c r="C36" s="177"/>
      <c r="D36" s="177"/>
      <c r="E36" s="177"/>
      <c r="F36" s="177"/>
      <c r="G36" s="177"/>
      <c r="H36" s="177"/>
      <c r="I36" s="177"/>
    </row>
    <row r="37" spans="2:9" x14ac:dyDescent="0.25">
      <c r="B37" s="105" t="s">
        <v>369</v>
      </c>
      <c r="C37" s="105"/>
      <c r="D37" s="105"/>
      <c r="E37" s="105"/>
      <c r="F37" s="105"/>
      <c r="G37" s="105"/>
      <c r="H37" s="105"/>
      <c r="I37" s="105"/>
    </row>
    <row r="38" spans="2:9" x14ac:dyDescent="0.25">
      <c r="B38" t="s">
        <v>210</v>
      </c>
      <c r="C38" s="152">
        <f>Historical!F19-Historical!F25</f>
        <v>7567</v>
      </c>
      <c r="D38" s="152">
        <f>Historical!G19-Historical!G25</f>
        <v>15499</v>
      </c>
      <c r="E38" s="152">
        <f>Historical!H19-Historical!H25</f>
        <v>33113</v>
      </c>
      <c r="F38" s="152">
        <f>Historical!I19-Historical!I25</f>
        <v>10996</v>
      </c>
      <c r="G38" s="152">
        <f>Historical!J19-Historical!J25</f>
        <v>19985</v>
      </c>
      <c r="H38" s="152">
        <f>Historical!K19-Historical!K25</f>
        <v>13416</v>
      </c>
      <c r="I38" s="152">
        <f>Historical!L19-Historical!L25</f>
        <v>19745</v>
      </c>
    </row>
    <row r="39" spans="2:9" x14ac:dyDescent="0.25">
      <c r="B39" t="s">
        <v>370</v>
      </c>
      <c r="C39" s="152">
        <f>Historical!F75</f>
        <v>12785</v>
      </c>
      <c r="D39" s="152">
        <f>Historical!G75</f>
        <v>18831</v>
      </c>
      <c r="E39" s="152">
        <f>Historical!H75</f>
        <v>26270</v>
      </c>
      <c r="F39" s="152">
        <f>Historical!I75</f>
        <v>23323</v>
      </c>
      <c r="G39" s="152">
        <f>Historical!J75</f>
        <v>12078</v>
      </c>
      <c r="H39" s="152">
        <f>Historical!K75</f>
        <v>20899</v>
      </c>
      <c r="I39" s="152">
        <f>Historical!L75</f>
        <v>25152</v>
      </c>
    </row>
    <row r="40" spans="2:9" x14ac:dyDescent="0.25">
      <c r="B40" t="s">
        <v>310</v>
      </c>
      <c r="C40" s="152">
        <f>Historical!F69</f>
        <v>131820</v>
      </c>
      <c r="D40" s="152">
        <f>Historical!G69</f>
        <v>147163</v>
      </c>
      <c r="E40" s="152">
        <f>Historical!H69</f>
        <v>196485</v>
      </c>
      <c r="F40" s="152">
        <f>Historical!I69</f>
        <v>210539</v>
      </c>
      <c r="G40" s="152">
        <f>Historical!J69</f>
        <v>227898</v>
      </c>
      <c r="H40" s="152">
        <f>Historical!K69</f>
        <v>240445</v>
      </c>
      <c r="I40" s="152">
        <f>Historical!L69</f>
        <v>269676</v>
      </c>
    </row>
    <row r="41" spans="2:9" x14ac:dyDescent="0.25">
      <c r="B41" s="153" t="s">
        <v>369</v>
      </c>
      <c r="C41" s="154">
        <f t="shared" ref="C41:H41" si="6">(C38-C39)/C40</f>
        <v>-3.9584281596115913E-2</v>
      </c>
      <c r="D41" s="154">
        <f t="shared" si="6"/>
        <v>-2.2641560718387094E-2</v>
      </c>
      <c r="E41" s="154">
        <f t="shared" si="6"/>
        <v>3.4827086037102072E-2</v>
      </c>
      <c r="F41" s="154">
        <f t="shared" si="6"/>
        <v>-5.8549722379226649E-2</v>
      </c>
      <c r="G41" s="154">
        <f t="shared" si="6"/>
        <v>3.4695346163634608E-2</v>
      </c>
      <c r="H41" s="154">
        <f t="shared" si="6"/>
        <v>-3.1121462288673084E-2</v>
      </c>
      <c r="I41" s="154">
        <f>(I38-I39)/I40</f>
        <v>-2.0049985909016747E-2</v>
      </c>
    </row>
    <row r="42" spans="2:9" x14ac:dyDescent="0.25">
      <c r="B42" s="176"/>
      <c r="C42" s="177"/>
      <c r="D42" s="177"/>
      <c r="E42" s="177"/>
      <c r="F42" s="177"/>
      <c r="G42" s="177"/>
      <c r="H42" s="177"/>
      <c r="I42" s="177"/>
    </row>
    <row r="43" spans="2:9" x14ac:dyDescent="0.25">
      <c r="B43" s="105" t="s">
        <v>371</v>
      </c>
      <c r="C43" s="105"/>
      <c r="D43" s="105"/>
      <c r="E43" s="105"/>
      <c r="F43" s="105"/>
      <c r="G43" s="105"/>
      <c r="H43" s="105"/>
      <c r="I43" s="105"/>
    </row>
    <row r="44" spans="2:9" x14ac:dyDescent="0.25">
      <c r="B44" t="s">
        <v>372</v>
      </c>
      <c r="C44" s="175">
        <f>SUM('Data Sheet'!E59:E60)/'Data Sheet'!E66</f>
        <v>0.72235624336216053</v>
      </c>
      <c r="D44" s="175">
        <f>SUM('Data Sheet'!F59:F60)/'Data Sheet'!F66</f>
        <v>0.69007155331163406</v>
      </c>
      <c r="E44" s="175">
        <f>SUM('Data Sheet'!G59:G60)/'Data Sheet'!G66</f>
        <v>0.65749548311575945</v>
      </c>
      <c r="F44" s="175">
        <f>SUM('Data Sheet'!H59:H60)/'Data Sheet'!H66</f>
        <v>0.68796754995511522</v>
      </c>
      <c r="G44" s="175">
        <f>SUM('Data Sheet'!I59:I60)/'Data Sheet'!I66</f>
        <v>0.65919402539732685</v>
      </c>
      <c r="H44" s="175">
        <f>SUM('Data Sheet'!J59:J60)/'Data Sheet'!J66</f>
        <v>0.66937969182141444</v>
      </c>
      <c r="I44" s="175">
        <f>SUM('Data Sheet'!K59:K60)/'Data Sheet'!K66</f>
        <v>0.62898811907622476</v>
      </c>
    </row>
    <row r="45" spans="2:9" x14ac:dyDescent="0.25">
      <c r="B45" t="s">
        <v>373</v>
      </c>
      <c r="C45" s="175">
        <f>SUM('Data Sheet'!D59:D60)/'Data Sheet'!D66</f>
        <v>0.69689974476684935</v>
      </c>
      <c r="D45" s="175">
        <f>SUM('Data Sheet'!E59:E60)/'Data Sheet'!E66</f>
        <v>0.72235624336216053</v>
      </c>
      <c r="E45" s="175">
        <f>SUM('Data Sheet'!F59:F60)/'Data Sheet'!F66</f>
        <v>0.69007155331163406</v>
      </c>
      <c r="F45" s="175">
        <f>SUM('Data Sheet'!G59:G60)/'Data Sheet'!G66</f>
        <v>0.65749548311575945</v>
      </c>
      <c r="G45" s="175">
        <f>SUM('Data Sheet'!H59:H60)/'Data Sheet'!H66</f>
        <v>0.68796754995511522</v>
      </c>
      <c r="H45" s="175">
        <f>SUM('Data Sheet'!I59:I60)/'Data Sheet'!I66</f>
        <v>0.65919402539732685</v>
      </c>
      <c r="I45" s="175">
        <f>SUM('Data Sheet'!J59:J60)/'Data Sheet'!J66</f>
        <v>0.66937969182141444</v>
      </c>
    </row>
    <row r="46" spans="2:9" x14ac:dyDescent="0.25">
      <c r="B46" s="153" t="s">
        <v>371</v>
      </c>
      <c r="C46" s="154">
        <f t="shared" ref="C46:I46" si="7">C44/C45</f>
        <v>1.0365282076603828</v>
      </c>
      <c r="D46" s="154">
        <f t="shared" si="7"/>
        <v>0.95530641515568626</v>
      </c>
      <c r="E46" s="154">
        <f t="shared" si="7"/>
        <v>0.95279319943048957</v>
      </c>
      <c r="F46" s="154">
        <f t="shared" si="7"/>
        <v>1.0463456671899156</v>
      </c>
      <c r="G46" s="154">
        <f t="shared" si="7"/>
        <v>0.95817604397232747</v>
      </c>
      <c r="H46" s="154">
        <f t="shared" si="7"/>
        <v>1.0154516971205074</v>
      </c>
      <c r="I46" s="154">
        <f t="shared" si="7"/>
        <v>0.93965820409746481</v>
      </c>
    </row>
    <row r="47" spans="2:9" x14ac:dyDescent="0.25">
      <c r="B47" s="176"/>
      <c r="C47" s="177"/>
      <c r="D47" s="177"/>
      <c r="E47" s="177"/>
      <c r="F47" s="177"/>
      <c r="G47" s="177"/>
      <c r="H47" s="177"/>
      <c r="I47" s="177"/>
    </row>
    <row r="48" spans="2:9" ht="21" x14ac:dyDescent="0.35">
      <c r="B48" s="157" t="s">
        <v>374</v>
      </c>
      <c r="C48" s="158"/>
      <c r="D48" s="158"/>
      <c r="E48" s="158"/>
      <c r="F48" s="158"/>
      <c r="G48" s="158"/>
      <c r="H48" s="158"/>
      <c r="I48" s="158"/>
    </row>
    <row r="49" spans="1:9" ht="10.5" customHeight="1" x14ac:dyDescent="0.35">
      <c r="B49" s="157"/>
      <c r="C49" s="158"/>
      <c r="D49" s="158"/>
      <c r="E49" s="158"/>
      <c r="F49" s="158"/>
      <c r="G49" s="158"/>
      <c r="H49" s="158"/>
      <c r="I49" s="158"/>
    </row>
    <row r="50" spans="1:9" x14ac:dyDescent="0.25">
      <c r="B50" s="110" t="s">
        <v>209</v>
      </c>
      <c r="C50" s="121">
        <f t="shared" ref="C50:I50" si="8">C5</f>
        <v>43921</v>
      </c>
      <c r="D50" s="121">
        <f t="shared" si="8"/>
        <v>44286</v>
      </c>
      <c r="E50" s="121">
        <f t="shared" si="8"/>
        <v>44651</v>
      </c>
      <c r="F50" s="121">
        <f t="shared" si="8"/>
        <v>45016</v>
      </c>
      <c r="G50" s="121">
        <f t="shared" si="8"/>
        <v>45382</v>
      </c>
      <c r="H50" s="121">
        <f t="shared" si="8"/>
        <v>45747</v>
      </c>
      <c r="I50" s="121">
        <f t="shared" si="8"/>
        <v>46112</v>
      </c>
    </row>
    <row r="51" spans="1:9" x14ac:dyDescent="0.25">
      <c r="B51" s="153" t="s">
        <v>325</v>
      </c>
      <c r="C51" s="155">
        <f t="shared" ref="C51:H51" si="9">-4.84+0.92*(C10)+0.528*(C15)+0.404*(C20)+0.892*(C25)+0.115*(C30)-0.172*(C35)+4.679*(C41)-0.372*(C46)</f>
        <v>-4.313956625469558</v>
      </c>
      <c r="D51" s="155">
        <f t="shared" si="9"/>
        <v>-4.1962927276033826</v>
      </c>
      <c r="E51" s="155">
        <f t="shared" si="9"/>
        <v>4.9127630821300432</v>
      </c>
      <c r="F51" s="155">
        <f t="shared" si="9"/>
        <v>-3.3060270676704966</v>
      </c>
      <c r="G51" s="155">
        <f t="shared" si="9"/>
        <v>-2.8883911267981759</v>
      </c>
      <c r="H51" s="155">
        <f t="shared" si="9"/>
        <v>-3.9676101045567922</v>
      </c>
      <c r="I51" s="155">
        <f>-4.84+0.92*(I10)+0.528*(I15)+0.404*(I20)+0.892*(I25)+0.115*(I30)-0.172*(I35)+4.679*(I41)-0.372*(I46)</f>
        <v>-6.853673257525303</v>
      </c>
    </row>
    <row r="53" spans="1:9" ht="31.5" customHeight="1" x14ac:dyDescent="0.25">
      <c r="B53" s="180" t="s">
        <v>375</v>
      </c>
      <c r="C53" s="178" t="str">
        <f t="shared" ref="C53:H53" si="10">IF(C51&gt;-1.78," Earning Manipulation","No Earning Manipulation")</f>
        <v>No Earning Manipulation</v>
      </c>
      <c r="D53" s="178" t="str">
        <f t="shared" si="10"/>
        <v>No Earning Manipulation</v>
      </c>
      <c r="E53" s="179" t="str">
        <f t="shared" si="10"/>
        <v xml:space="preserve"> Earning Manipulation</v>
      </c>
      <c r="F53" s="178" t="str">
        <f t="shared" si="10"/>
        <v>No Earning Manipulation</v>
      </c>
      <c r="G53" s="178" t="str">
        <f t="shared" si="10"/>
        <v>No Earning Manipulation</v>
      </c>
      <c r="H53" s="178" t="str">
        <f t="shared" si="10"/>
        <v>No Earning Manipulation</v>
      </c>
      <c r="I53" s="178" t="str">
        <f>IF(I51&gt;-1.78," Earning Manipulation","No Earning Manipulation")</f>
        <v>No Earning Manipulation</v>
      </c>
    </row>
    <row r="56" spans="1:9" x14ac:dyDescent="0.25">
      <c r="A56" s="41"/>
      <c r="B56" s="41"/>
      <c r="C56" s="41"/>
      <c r="D56" s="41"/>
      <c r="E56" s="41"/>
      <c r="F56" s="41"/>
      <c r="G56" s="41"/>
      <c r="H56" s="41"/>
      <c r="I56" s="41"/>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57628-D2B8-487C-B89B-326F9DA679CA}">
  <dimension ref="A2:K28"/>
  <sheetViews>
    <sheetView showGridLines="0" workbookViewId="0">
      <pane ySplit="2" topLeftCell="A17" activePane="bottomLeft" state="frozen"/>
      <selection activeCell="B1" sqref="B1"/>
      <selection pane="bottomLeft" activeCell="D13" sqref="D13"/>
    </sheetView>
  </sheetViews>
  <sheetFormatPr defaultRowHeight="15" x14ac:dyDescent="0.25"/>
  <cols>
    <col min="1" max="1" width="1.85546875" customWidth="1"/>
  </cols>
  <sheetData>
    <row r="2" spans="1:4" ht="26.25" customHeight="1" x14ac:dyDescent="0.35">
      <c r="B2" s="126" t="s">
        <v>282</v>
      </c>
    </row>
    <row r="5" spans="1:4" ht="18.75" x14ac:dyDescent="0.3">
      <c r="A5" t="s">
        <v>94</v>
      </c>
      <c r="B5" s="139" t="s">
        <v>285</v>
      </c>
      <c r="C5" s="33"/>
      <c r="D5" s="33"/>
    </row>
    <row r="7" spans="1:4" x14ac:dyDescent="0.25">
      <c r="B7" s="137" t="s">
        <v>284</v>
      </c>
      <c r="C7" s="137"/>
    </row>
    <row r="8" spans="1:4" x14ac:dyDescent="0.25">
      <c r="B8" t="s">
        <v>286</v>
      </c>
    </row>
    <row r="9" spans="1:4" x14ac:dyDescent="0.25">
      <c r="B9" t="s">
        <v>287</v>
      </c>
    </row>
    <row r="10" spans="1:4" x14ac:dyDescent="0.25">
      <c r="B10" t="s">
        <v>292</v>
      </c>
    </row>
    <row r="13" spans="1:4" ht="15.75" x14ac:dyDescent="0.25">
      <c r="B13" s="138" t="s">
        <v>288</v>
      </c>
      <c r="C13" s="138"/>
    </row>
    <row r="14" spans="1:4" x14ac:dyDescent="0.25">
      <c r="B14" t="s">
        <v>289</v>
      </c>
    </row>
    <row r="15" spans="1:4" x14ac:dyDescent="0.25">
      <c r="B15" t="s">
        <v>290</v>
      </c>
    </row>
    <row r="16" spans="1:4" x14ac:dyDescent="0.25">
      <c r="B16" t="s">
        <v>291</v>
      </c>
    </row>
    <row r="18" spans="1:11" ht="18.75" x14ac:dyDescent="0.3">
      <c r="A18" t="s">
        <v>94</v>
      </c>
      <c r="B18" s="139" t="s">
        <v>293</v>
      </c>
    </row>
    <row r="20" spans="1:11" x14ac:dyDescent="0.25">
      <c r="B20" t="s">
        <v>307</v>
      </c>
    </row>
    <row r="21" spans="1:11" x14ac:dyDescent="0.25">
      <c r="B21" t="s">
        <v>308</v>
      </c>
    </row>
    <row r="23" spans="1:11" x14ac:dyDescent="0.25">
      <c r="B23" s="33" t="s">
        <v>294</v>
      </c>
      <c r="E23" s="140"/>
    </row>
    <row r="24" spans="1:11" x14ac:dyDescent="0.25">
      <c r="B24" t="s">
        <v>296</v>
      </c>
    </row>
    <row r="25" spans="1:11" x14ac:dyDescent="0.25">
      <c r="B25" s="141" t="s">
        <v>295</v>
      </c>
      <c r="C25" s="141"/>
      <c r="D25" s="141"/>
      <c r="E25" s="141"/>
      <c r="F25" s="141"/>
      <c r="G25" s="141"/>
      <c r="H25" s="141"/>
      <c r="I25" s="141"/>
      <c r="J25" s="141"/>
      <c r="K25" s="141"/>
    </row>
    <row r="26" spans="1:11" x14ac:dyDescent="0.25">
      <c r="B26" s="141" t="s">
        <v>297</v>
      </c>
    </row>
    <row r="28" spans="1:11" ht="26.25" x14ac:dyDescent="0.4">
      <c r="B28" s="190" t="s">
        <v>388</v>
      </c>
      <c r="C28" s="191"/>
      <c r="D28" s="191"/>
      <c r="E28" s="19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5BDFF-5995-4A7C-85A1-E45118870651}">
  <dimension ref="A1:M15"/>
  <sheetViews>
    <sheetView workbookViewId="0">
      <selection activeCell="D19" sqref="D19"/>
    </sheetView>
  </sheetViews>
  <sheetFormatPr defaultRowHeight="15" x14ac:dyDescent="0.25"/>
  <cols>
    <col min="1" max="1" width="28" bestFit="1" customWidth="1"/>
  </cols>
  <sheetData>
    <row r="1" spans="1:13" x14ac:dyDescent="0.25">
      <c r="B1" s="181">
        <v>42064</v>
      </c>
      <c r="C1" s="181">
        <v>42430</v>
      </c>
      <c r="D1" s="181">
        <v>42795</v>
      </c>
      <c r="E1" s="181">
        <v>43160</v>
      </c>
      <c r="F1" s="181">
        <v>43525</v>
      </c>
      <c r="G1" s="181">
        <v>43891</v>
      </c>
      <c r="H1" s="181">
        <v>44256</v>
      </c>
      <c r="I1" s="181">
        <v>44621</v>
      </c>
      <c r="J1" s="181">
        <v>44986</v>
      </c>
      <c r="K1" s="181">
        <v>45352</v>
      </c>
      <c r="L1" s="181">
        <v>45717</v>
      </c>
      <c r="M1" s="181">
        <v>46082</v>
      </c>
    </row>
    <row r="2" spans="1:13" x14ac:dyDescent="0.25">
      <c r="A2" t="s">
        <v>376</v>
      </c>
      <c r="B2" s="182">
        <v>7876</v>
      </c>
      <c r="C2" s="182">
        <v>6897</v>
      </c>
      <c r="D2" s="182">
        <v>7888</v>
      </c>
      <c r="E2" s="182">
        <v>12379</v>
      </c>
      <c r="F2" s="182">
        <v>14633</v>
      </c>
      <c r="G2" s="182">
        <v>12785</v>
      </c>
      <c r="H2" s="182">
        <v>18831</v>
      </c>
      <c r="I2" s="182">
        <v>26270</v>
      </c>
      <c r="J2" s="182">
        <v>23323</v>
      </c>
      <c r="K2" s="182">
        <v>12078</v>
      </c>
      <c r="L2" s="182">
        <v>20899</v>
      </c>
      <c r="M2" s="182">
        <v>25152</v>
      </c>
    </row>
    <row r="3" spans="1:13" x14ac:dyDescent="0.25">
      <c r="A3" t="s">
        <v>377</v>
      </c>
      <c r="B3" s="182">
        <v>8850</v>
      </c>
      <c r="C3" s="182">
        <v>6614</v>
      </c>
      <c r="D3" s="182">
        <v>11994</v>
      </c>
      <c r="E3" s="182">
        <v>14920</v>
      </c>
      <c r="F3" s="182">
        <v>18844</v>
      </c>
      <c r="G3" s="182">
        <v>12301</v>
      </c>
      <c r="H3" s="182">
        <v>19455</v>
      </c>
      <c r="I3" s="182">
        <v>38913</v>
      </c>
      <c r="J3" s="182">
        <v>20856</v>
      </c>
      <c r="K3" s="182">
        <v>28472</v>
      </c>
      <c r="L3" s="182">
        <v>23553</v>
      </c>
      <c r="M3" s="182">
        <v>32085</v>
      </c>
    </row>
    <row r="4" spans="1:13" x14ac:dyDescent="0.25">
      <c r="A4" t="s">
        <v>78</v>
      </c>
      <c r="B4">
        <v>-207</v>
      </c>
      <c r="C4">
        <v>-294</v>
      </c>
      <c r="D4" s="182">
        <v>-1352</v>
      </c>
      <c r="E4">
        <v>-640</v>
      </c>
      <c r="F4" s="182">
        <v>-2203</v>
      </c>
      <c r="G4" s="182">
        <v>2458</v>
      </c>
      <c r="H4">
        <v>72</v>
      </c>
      <c r="I4" s="182">
        <v>-1884</v>
      </c>
      <c r="J4">
        <v>317</v>
      </c>
      <c r="K4">
        <v>-154</v>
      </c>
      <c r="L4">
        <v>-866</v>
      </c>
      <c r="M4" s="182">
        <v>-3686</v>
      </c>
    </row>
    <row r="5" spans="1:13" x14ac:dyDescent="0.25">
      <c r="A5" t="s">
        <v>45</v>
      </c>
      <c r="B5" s="182">
        <v>-2854</v>
      </c>
      <c r="C5" s="182">
        <v>2578</v>
      </c>
      <c r="D5" s="182">
        <v>-3065</v>
      </c>
      <c r="E5" s="182">
        <v>-1199</v>
      </c>
      <c r="F5" s="182">
        <v>-1741</v>
      </c>
      <c r="G5">
        <v>744</v>
      </c>
      <c r="H5">
        <v>-335</v>
      </c>
      <c r="I5" s="182">
        <v>-15593</v>
      </c>
      <c r="J5">
        <v>704</v>
      </c>
      <c r="K5" s="182">
        <v>-3284</v>
      </c>
      <c r="L5" s="182">
        <v>2609</v>
      </c>
      <c r="M5" s="182">
        <v>-3176</v>
      </c>
    </row>
    <row r="6" spans="1:13" x14ac:dyDescent="0.25">
      <c r="A6" t="s">
        <v>378</v>
      </c>
      <c r="B6" s="182">
        <v>2543</v>
      </c>
      <c r="C6" s="182">
        <v>-2143</v>
      </c>
      <c r="D6" s="182">
        <v>1561</v>
      </c>
      <c r="E6" s="182">
        <v>2514</v>
      </c>
      <c r="F6" s="182">
        <v>3406</v>
      </c>
      <c r="G6">
        <v>183</v>
      </c>
      <c r="H6" s="182">
        <v>1348</v>
      </c>
      <c r="I6" s="182">
        <v>13013</v>
      </c>
      <c r="J6" s="182">
        <v>4965</v>
      </c>
      <c r="K6" s="182">
        <v>-7235</v>
      </c>
      <c r="L6" s="182">
        <v>-1096</v>
      </c>
      <c r="M6" s="182">
        <v>5517</v>
      </c>
    </row>
    <row r="7" spans="1:13" x14ac:dyDescent="0.25">
      <c r="A7" t="s">
        <v>379</v>
      </c>
      <c r="B7">
        <v>286</v>
      </c>
      <c r="C7">
        <v>0</v>
      </c>
      <c r="D7">
        <v>0</v>
      </c>
      <c r="E7">
        <v>0</v>
      </c>
      <c r="F7">
        <v>0</v>
      </c>
      <c r="G7">
        <v>0</v>
      </c>
      <c r="H7">
        <v>0</v>
      </c>
      <c r="I7">
        <v>0</v>
      </c>
      <c r="J7">
        <v>0</v>
      </c>
      <c r="K7">
        <v>0</v>
      </c>
      <c r="L7">
        <v>0</v>
      </c>
      <c r="M7">
        <v>0</v>
      </c>
    </row>
    <row r="8" spans="1:13" x14ac:dyDescent="0.25">
      <c r="A8" t="s">
        <v>380</v>
      </c>
      <c r="B8">
        <v>31</v>
      </c>
      <c r="C8">
        <v>351</v>
      </c>
      <c r="D8" s="182">
        <v>-1013</v>
      </c>
      <c r="E8" s="182">
        <v>-1776</v>
      </c>
      <c r="F8" s="182">
        <v>-1043</v>
      </c>
      <c r="G8" s="182">
        <v>-1746</v>
      </c>
      <c r="H8">
        <v>221</v>
      </c>
      <c r="I8" s="182">
        <v>-2800</v>
      </c>
      <c r="J8" s="182">
        <v>-2881</v>
      </c>
      <c r="K8" s="182">
        <v>-2942</v>
      </c>
      <c r="L8" s="182">
        <v>-1328</v>
      </c>
      <c r="M8" s="182">
        <v>-2363</v>
      </c>
    </row>
    <row r="9" spans="1:13" x14ac:dyDescent="0.25">
      <c r="A9" t="s">
        <v>381</v>
      </c>
      <c r="B9">
        <v>-202</v>
      </c>
      <c r="C9">
        <v>491</v>
      </c>
      <c r="D9" s="182">
        <v>-3869</v>
      </c>
      <c r="E9" s="182">
        <v>-1101</v>
      </c>
      <c r="F9" s="182">
        <v>-1581</v>
      </c>
      <c r="G9" s="182">
        <v>1639</v>
      </c>
      <c r="H9" s="182">
        <v>1306</v>
      </c>
      <c r="I9" s="182">
        <v>-7264</v>
      </c>
      <c r="J9" s="182">
        <v>3105</v>
      </c>
      <c r="K9" s="182">
        <v>-13615</v>
      </c>
      <c r="L9">
        <v>-681</v>
      </c>
      <c r="M9" s="182">
        <v>-3708</v>
      </c>
    </row>
    <row r="10" spans="1:13" x14ac:dyDescent="0.25">
      <c r="A10" t="s">
        <v>382</v>
      </c>
      <c r="B10">
        <v>-773</v>
      </c>
      <c r="C10">
        <v>-207</v>
      </c>
      <c r="D10">
        <v>-237</v>
      </c>
      <c r="E10" s="182">
        <v>-1440</v>
      </c>
      <c r="F10" s="182">
        <v>-2630</v>
      </c>
      <c r="G10" s="182">
        <v>-1155</v>
      </c>
      <c r="H10" s="182">
        <v>-1930</v>
      </c>
      <c r="I10" s="182">
        <v>-5379</v>
      </c>
      <c r="J10">
        <v>-638</v>
      </c>
      <c r="K10" s="182">
        <v>-2779</v>
      </c>
      <c r="L10" s="182">
        <v>-1973</v>
      </c>
      <c r="M10" s="182">
        <v>-3225</v>
      </c>
    </row>
    <row r="11" spans="1:13" x14ac:dyDescent="0.25">
      <c r="A11" t="s">
        <v>383</v>
      </c>
      <c r="B11" s="182">
        <v>-7372</v>
      </c>
      <c r="C11" s="182">
        <v>-3857</v>
      </c>
      <c r="D11" s="182">
        <v>-5094</v>
      </c>
      <c r="E11" s="182">
        <v>-4529</v>
      </c>
      <c r="F11" s="182">
        <v>-11387</v>
      </c>
      <c r="G11" s="182">
        <v>-19589</v>
      </c>
      <c r="H11" s="182">
        <v>-9410</v>
      </c>
      <c r="I11" s="182">
        <v>-14748</v>
      </c>
      <c r="J11" s="182">
        <v>-10730</v>
      </c>
      <c r="K11" s="182">
        <v>-14467</v>
      </c>
      <c r="L11" s="182">
        <v>-17012</v>
      </c>
      <c r="M11" s="182">
        <v>18690</v>
      </c>
    </row>
    <row r="12" spans="1:13" x14ac:dyDescent="0.25">
      <c r="A12" t="s">
        <v>384</v>
      </c>
      <c r="B12">
        <v>-169</v>
      </c>
      <c r="C12" s="182">
        <v>-3151</v>
      </c>
      <c r="D12" s="182">
        <v>-2710</v>
      </c>
      <c r="E12" s="182">
        <v>-8185</v>
      </c>
      <c r="F12" s="182">
        <v>1753</v>
      </c>
      <c r="G12" s="182">
        <v>5189</v>
      </c>
      <c r="H12" s="182">
        <v>-1444</v>
      </c>
      <c r="I12" s="182">
        <v>-14657</v>
      </c>
      <c r="J12" s="182">
        <v>-5977</v>
      </c>
      <c r="K12" s="182">
        <v>-5005</v>
      </c>
      <c r="L12">
        <v>-262</v>
      </c>
      <c r="M12" s="182">
        <v>-16111</v>
      </c>
    </row>
    <row r="13" spans="1:13" x14ac:dyDescent="0.25">
      <c r="A13" t="s">
        <v>35</v>
      </c>
      <c r="B13">
        <v>334</v>
      </c>
      <c r="C13">
        <v>-111</v>
      </c>
      <c r="D13">
        <v>84</v>
      </c>
      <c r="E13">
        <v>-335</v>
      </c>
      <c r="F13" s="182">
        <v>4999</v>
      </c>
      <c r="G13" s="182">
        <v>-1615</v>
      </c>
      <c r="H13" s="182">
        <v>7977</v>
      </c>
      <c r="I13" s="182">
        <v>-3135</v>
      </c>
      <c r="J13" s="182">
        <v>6616</v>
      </c>
      <c r="K13" s="182">
        <v>-7394</v>
      </c>
      <c r="L13" s="182">
        <v>3625</v>
      </c>
      <c r="M13" s="182">
        <v>27731</v>
      </c>
    </row>
    <row r="14" spans="1:13" x14ac:dyDescent="0.25">
      <c r="A14" t="s">
        <v>385</v>
      </c>
      <c r="B14" s="182">
        <v>1362</v>
      </c>
      <c r="C14" s="182">
        <v>1736</v>
      </c>
      <c r="D14" s="182">
        <v>3498</v>
      </c>
      <c r="E14" s="182">
        <v>7703</v>
      </c>
      <c r="F14" s="182">
        <v>4471</v>
      </c>
      <c r="G14">
        <v>18</v>
      </c>
      <c r="H14" s="182">
        <v>7916</v>
      </c>
      <c r="I14" s="182">
        <v>16222</v>
      </c>
      <c r="J14" s="182">
        <v>8574</v>
      </c>
      <c r="K14" s="182">
        <v>-3469</v>
      </c>
      <c r="L14" s="182">
        <v>8264</v>
      </c>
      <c r="M14" s="182">
        <v>10610</v>
      </c>
    </row>
    <row r="15" spans="1:13" x14ac:dyDescent="0.25">
      <c r="A15" t="s">
        <v>386</v>
      </c>
      <c r="B15" s="90">
        <v>0.92</v>
      </c>
      <c r="C15" s="90">
        <v>1.1100000000000001</v>
      </c>
      <c r="D15" s="90">
        <v>0.66</v>
      </c>
      <c r="E15" s="90">
        <v>0.93</v>
      </c>
      <c r="F15" s="90">
        <v>0.91</v>
      </c>
      <c r="G15" s="90">
        <v>1.18</v>
      </c>
      <c r="H15" s="90">
        <v>1.03</v>
      </c>
      <c r="I15" s="90">
        <v>0.81</v>
      </c>
      <c r="J15" s="90">
        <v>1.3</v>
      </c>
      <c r="K15" s="90">
        <v>0.53</v>
      </c>
      <c r="L15" s="90">
        <v>1.01</v>
      </c>
      <c r="M15" s="90">
        <v>0.97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3"/>
  <sheetViews>
    <sheetView zoomScale="120" zoomScaleNormal="120" zoomScalePageLayoutView="120" workbookViewId="0">
      <pane xSplit="1" ySplit="1" topLeftCell="C2" activePane="bottomRight" state="frozen"/>
      <selection activeCell="C4" sqref="C4"/>
      <selection pane="topRight" activeCell="C4" sqref="C4"/>
      <selection pane="bottomLeft" activeCell="C4" sqref="C4"/>
      <selection pane="bottomRight" activeCell="E1" sqref="E1:K1"/>
    </sheetView>
  </sheetViews>
  <sheetFormatPr defaultColWidth="8.85546875" defaultRowHeight="15" x14ac:dyDescent="0.25"/>
  <cols>
    <col min="1" max="1" width="27.7109375" style="5" bestFit="1" customWidth="1"/>
    <col min="2" max="11" width="13.42578125" style="5" bestFit="1" customWidth="1"/>
    <col min="12" max="16384" width="8.85546875" style="5"/>
  </cols>
  <sheetData>
    <row r="1" spans="1:11" s="1" customFormat="1" x14ac:dyDescent="0.25">
      <c r="A1" s="1" t="s">
        <v>0</v>
      </c>
      <c r="B1" s="1" t="s">
        <v>63</v>
      </c>
      <c r="E1" s="195" t="str">
        <f>B1</f>
        <v>JSW STEEL LTD</v>
      </c>
      <c r="F1" s="195"/>
      <c r="G1" s="195"/>
      <c r="H1" s="195"/>
      <c r="I1" s="195"/>
      <c r="J1" s="195"/>
      <c r="K1" s="195"/>
    </row>
    <row r="2" spans="1:11" x14ac:dyDescent="0.25">
      <c r="A2" s="1" t="s">
        <v>61</v>
      </c>
      <c r="B2" s="5">
        <v>2.1</v>
      </c>
      <c r="E2" s="196" t="s">
        <v>36</v>
      </c>
      <c r="F2" s="196"/>
      <c r="G2" s="196"/>
      <c r="H2" s="196"/>
      <c r="I2" s="196"/>
      <c r="J2" s="196"/>
      <c r="K2" s="196"/>
    </row>
    <row r="3" spans="1:11" x14ac:dyDescent="0.25">
      <c r="A3" s="1" t="s">
        <v>62</v>
      </c>
      <c r="B3" s="5">
        <v>2.1</v>
      </c>
    </row>
    <row r="4" spans="1:11" x14ac:dyDescent="0.25">
      <c r="A4" s="1"/>
    </row>
    <row r="5" spans="1:11" x14ac:dyDescent="0.25">
      <c r="A5" s="1" t="s">
        <v>64</v>
      </c>
    </row>
    <row r="6" spans="1:11" x14ac:dyDescent="0.25">
      <c r="A6" s="5" t="s">
        <v>42</v>
      </c>
      <c r="B6" s="5">
        <f>IF(B9&gt;0, B9/B8, 0)</f>
        <v>244.54539906103287</v>
      </c>
    </row>
    <row r="7" spans="1:11" x14ac:dyDescent="0.25">
      <c r="A7" s="5" t="s">
        <v>31</v>
      </c>
      <c r="B7">
        <v>1</v>
      </c>
    </row>
    <row r="8" spans="1:11" x14ac:dyDescent="0.25">
      <c r="A8" s="5" t="s">
        <v>43</v>
      </c>
      <c r="B8">
        <v>1278</v>
      </c>
    </row>
    <row r="9" spans="1:11" x14ac:dyDescent="0.25">
      <c r="A9" s="5" t="s">
        <v>79</v>
      </c>
      <c r="B9">
        <v>312529.02</v>
      </c>
    </row>
    <row r="15" spans="1:11" x14ac:dyDescent="0.25">
      <c r="A15" s="1" t="s">
        <v>37</v>
      </c>
    </row>
    <row r="16" spans="1:11" s="24" customFormat="1" x14ac:dyDescent="0.25">
      <c r="A16" s="23" t="s">
        <v>38</v>
      </c>
      <c r="B16" s="16">
        <v>42825</v>
      </c>
      <c r="C16" s="16">
        <v>43190</v>
      </c>
      <c r="D16" s="16">
        <v>43555</v>
      </c>
      <c r="E16" s="16">
        <v>43921</v>
      </c>
      <c r="F16" s="16">
        <v>44286</v>
      </c>
      <c r="G16" s="16">
        <v>44651</v>
      </c>
      <c r="H16" s="16">
        <v>45016</v>
      </c>
      <c r="I16" s="16">
        <v>45382</v>
      </c>
      <c r="J16" s="16">
        <v>45747</v>
      </c>
      <c r="K16" s="16">
        <v>46112</v>
      </c>
    </row>
    <row r="17" spans="1:11" s="9" customFormat="1" x14ac:dyDescent="0.25">
      <c r="A17" s="9" t="s">
        <v>6</v>
      </c>
      <c r="B17">
        <v>55604</v>
      </c>
      <c r="C17">
        <v>71933</v>
      </c>
      <c r="D17">
        <v>84757</v>
      </c>
      <c r="E17">
        <v>73326</v>
      </c>
      <c r="F17">
        <v>79839</v>
      </c>
      <c r="G17">
        <v>146371</v>
      </c>
      <c r="H17">
        <v>165960</v>
      </c>
      <c r="I17">
        <v>175006</v>
      </c>
      <c r="J17">
        <v>168824</v>
      </c>
      <c r="K17">
        <v>185470</v>
      </c>
    </row>
    <row r="18" spans="1:11" s="9" customFormat="1" x14ac:dyDescent="0.25">
      <c r="A18" s="5" t="s">
        <v>80</v>
      </c>
      <c r="B18">
        <v>29749</v>
      </c>
      <c r="C18">
        <v>38781</v>
      </c>
      <c r="D18">
        <v>43796</v>
      </c>
      <c r="E18">
        <v>39000</v>
      </c>
      <c r="F18">
        <v>32856</v>
      </c>
      <c r="G18">
        <v>62871</v>
      </c>
      <c r="H18">
        <v>95970</v>
      </c>
      <c r="I18">
        <v>94754</v>
      </c>
      <c r="J18">
        <v>89169</v>
      </c>
      <c r="K18">
        <v>91872</v>
      </c>
    </row>
    <row r="19" spans="1:11" s="9" customFormat="1" x14ac:dyDescent="0.25">
      <c r="A19" s="5" t="s">
        <v>81</v>
      </c>
      <c r="B19">
        <v>1486</v>
      </c>
      <c r="C19">
        <v>-244</v>
      </c>
      <c r="D19">
        <v>590</v>
      </c>
      <c r="E19">
        <v>270</v>
      </c>
      <c r="F19">
        <v>348</v>
      </c>
      <c r="G19">
        <v>3601</v>
      </c>
      <c r="H19">
        <v>2636</v>
      </c>
      <c r="I19">
        <v>3087</v>
      </c>
      <c r="J19">
        <v>-829</v>
      </c>
      <c r="K19">
        <v>-4719</v>
      </c>
    </row>
    <row r="20" spans="1:11" s="9" customFormat="1" x14ac:dyDescent="0.25">
      <c r="A20" s="5" t="s">
        <v>82</v>
      </c>
      <c r="B20">
        <v>4883</v>
      </c>
      <c r="C20">
        <v>5697</v>
      </c>
      <c r="D20">
        <v>7053</v>
      </c>
      <c r="E20">
        <v>6272</v>
      </c>
      <c r="F20">
        <v>5985</v>
      </c>
      <c r="G20">
        <v>11289</v>
      </c>
      <c r="H20">
        <v>17452</v>
      </c>
      <c r="I20">
        <v>15127</v>
      </c>
      <c r="J20">
        <v>16161</v>
      </c>
      <c r="K20">
        <v>16152</v>
      </c>
    </row>
    <row r="21" spans="1:11" s="9" customFormat="1" x14ac:dyDescent="0.25">
      <c r="A21" s="5" t="s">
        <v>83</v>
      </c>
      <c r="B21">
        <v>6887</v>
      </c>
      <c r="C21">
        <v>8713</v>
      </c>
      <c r="D21">
        <v>10158</v>
      </c>
      <c r="E21">
        <v>10243</v>
      </c>
      <c r="F21">
        <v>16247</v>
      </c>
      <c r="G21">
        <v>29726</v>
      </c>
      <c r="H21">
        <v>26224</v>
      </c>
      <c r="I21">
        <v>29716</v>
      </c>
      <c r="J21">
        <v>28950</v>
      </c>
      <c r="K21"/>
    </row>
    <row r="22" spans="1:11" s="9" customFormat="1" x14ac:dyDescent="0.25">
      <c r="A22" s="5" t="s">
        <v>84</v>
      </c>
      <c r="B22">
        <v>1700</v>
      </c>
      <c r="C22">
        <v>1843</v>
      </c>
      <c r="D22">
        <v>2489</v>
      </c>
      <c r="E22">
        <v>2839</v>
      </c>
      <c r="F22">
        <v>2506</v>
      </c>
      <c r="G22">
        <v>3493</v>
      </c>
      <c r="H22">
        <v>3915</v>
      </c>
      <c r="I22">
        <v>4591</v>
      </c>
      <c r="J22">
        <v>4798</v>
      </c>
      <c r="K22">
        <v>5285</v>
      </c>
    </row>
    <row r="23" spans="1:11" s="9" customFormat="1" x14ac:dyDescent="0.25">
      <c r="A23" s="5" t="s">
        <v>85</v>
      </c>
      <c r="B23">
        <v>323</v>
      </c>
      <c r="C23">
        <v>277</v>
      </c>
      <c r="D23">
        <v>602</v>
      </c>
      <c r="E23">
        <v>450</v>
      </c>
      <c r="F23">
        <v>404</v>
      </c>
      <c r="G23">
        <v>557</v>
      </c>
      <c r="H23">
        <v>1018</v>
      </c>
      <c r="I23">
        <v>894</v>
      </c>
      <c r="J23">
        <v>912</v>
      </c>
      <c r="K23"/>
    </row>
    <row r="24" spans="1:11" s="9" customFormat="1" x14ac:dyDescent="0.25">
      <c r="A24" s="5" t="s">
        <v>86</v>
      </c>
      <c r="B24">
        <v>1240</v>
      </c>
      <c r="C24">
        <v>1462</v>
      </c>
      <c r="D24">
        <v>2319</v>
      </c>
      <c r="E24">
        <v>2979</v>
      </c>
      <c r="F24">
        <v>2011</v>
      </c>
      <c r="G24">
        <v>2922</v>
      </c>
      <c r="H24">
        <v>5547</v>
      </c>
      <c r="I24">
        <v>4854</v>
      </c>
      <c r="J24">
        <v>5280</v>
      </c>
      <c r="K24">
        <v>38096</v>
      </c>
    </row>
    <row r="25" spans="1:11" s="9" customFormat="1" x14ac:dyDescent="0.25">
      <c r="A25" s="9" t="s">
        <v>9</v>
      </c>
      <c r="B25">
        <v>18</v>
      </c>
      <c r="C25">
        <v>-177</v>
      </c>
      <c r="D25">
        <v>196</v>
      </c>
      <c r="E25">
        <v>-289</v>
      </c>
      <c r="F25">
        <v>473</v>
      </c>
      <c r="G25">
        <v>1600</v>
      </c>
      <c r="H25">
        <v>1561</v>
      </c>
      <c r="I25">
        <v>1500</v>
      </c>
      <c r="J25">
        <v>73</v>
      </c>
      <c r="K25">
        <v>18607</v>
      </c>
    </row>
    <row r="26" spans="1:11" s="9" customFormat="1" x14ac:dyDescent="0.25">
      <c r="A26" s="9" t="s">
        <v>10</v>
      </c>
      <c r="B26">
        <v>3430</v>
      </c>
      <c r="C26">
        <v>3387</v>
      </c>
      <c r="D26">
        <v>4041</v>
      </c>
      <c r="E26">
        <v>4246</v>
      </c>
      <c r="F26">
        <v>4679</v>
      </c>
      <c r="G26">
        <v>6001</v>
      </c>
      <c r="H26">
        <v>7474</v>
      </c>
      <c r="I26">
        <v>8172</v>
      </c>
      <c r="J26">
        <v>9309</v>
      </c>
      <c r="K26">
        <v>9601</v>
      </c>
    </row>
    <row r="27" spans="1:11" s="9" customFormat="1" x14ac:dyDescent="0.25">
      <c r="A27" s="9" t="s">
        <v>11</v>
      </c>
      <c r="B27">
        <v>3768</v>
      </c>
      <c r="C27">
        <v>3701</v>
      </c>
      <c r="D27">
        <v>3917</v>
      </c>
      <c r="E27">
        <v>4265</v>
      </c>
      <c r="F27">
        <v>3957</v>
      </c>
      <c r="G27">
        <v>4968</v>
      </c>
      <c r="H27">
        <v>6902</v>
      </c>
      <c r="I27">
        <v>8105</v>
      </c>
      <c r="J27">
        <v>8412</v>
      </c>
      <c r="K27">
        <v>9102</v>
      </c>
    </row>
    <row r="28" spans="1:11" s="9" customFormat="1" x14ac:dyDescent="0.25">
      <c r="A28" s="9" t="s">
        <v>12</v>
      </c>
      <c r="B28">
        <v>5128</v>
      </c>
      <c r="C28">
        <v>7651</v>
      </c>
      <c r="D28">
        <v>11168</v>
      </c>
      <c r="E28">
        <v>3013</v>
      </c>
      <c r="F28">
        <v>12015</v>
      </c>
      <c r="G28">
        <v>29745</v>
      </c>
      <c r="H28">
        <v>5655</v>
      </c>
      <c r="I28">
        <v>13380</v>
      </c>
      <c r="J28">
        <v>5077</v>
      </c>
      <c r="K28">
        <v>29250</v>
      </c>
    </row>
    <row r="29" spans="1:11" s="9" customFormat="1" x14ac:dyDescent="0.25">
      <c r="A29" s="9" t="s">
        <v>13</v>
      </c>
      <c r="B29">
        <v>1674</v>
      </c>
      <c r="C29">
        <v>1538</v>
      </c>
      <c r="D29">
        <v>3644</v>
      </c>
      <c r="E29">
        <v>-906</v>
      </c>
      <c r="F29">
        <v>4142</v>
      </c>
      <c r="G29">
        <v>8807</v>
      </c>
      <c r="H29">
        <v>1516</v>
      </c>
      <c r="I29">
        <v>4407</v>
      </c>
      <c r="J29">
        <v>1586</v>
      </c>
      <c r="K29">
        <v>3742</v>
      </c>
    </row>
    <row r="30" spans="1:11" s="9" customFormat="1" x14ac:dyDescent="0.25">
      <c r="A30" s="9" t="s">
        <v>14</v>
      </c>
      <c r="B30">
        <v>3523</v>
      </c>
      <c r="C30">
        <v>6214</v>
      </c>
      <c r="D30">
        <v>7639</v>
      </c>
      <c r="E30">
        <v>4030</v>
      </c>
      <c r="F30">
        <v>7911</v>
      </c>
      <c r="G30">
        <v>20665</v>
      </c>
      <c r="H30">
        <v>4144</v>
      </c>
      <c r="I30">
        <v>8812</v>
      </c>
      <c r="J30">
        <v>3504</v>
      </c>
      <c r="K30">
        <v>22316</v>
      </c>
    </row>
    <row r="31" spans="1:11" s="9" customFormat="1" x14ac:dyDescent="0.25">
      <c r="A31" s="9" t="s">
        <v>70</v>
      </c>
      <c r="B31">
        <v>677.25</v>
      </c>
      <c r="C31">
        <v>966.4</v>
      </c>
      <c r="D31">
        <v>1234.0999999999999</v>
      </c>
      <c r="E31">
        <v>602</v>
      </c>
      <c r="F31">
        <v>1963</v>
      </c>
      <c r="G31">
        <v>5222.3500000000004</v>
      </c>
      <c r="H31">
        <v>1023.4</v>
      </c>
      <c r="I31">
        <v>2226.5</v>
      </c>
      <c r="J31">
        <v>854</v>
      </c>
      <c r="K31">
        <v>2165.5</v>
      </c>
    </row>
    <row r="32" spans="1:11" s="9" customFormat="1" x14ac:dyDescent="0.25"/>
    <row r="33" spans="1:11" x14ac:dyDescent="0.25">
      <c r="A33" s="9"/>
    </row>
    <row r="34" spans="1:11" x14ac:dyDescent="0.25">
      <c r="A34" s="9"/>
    </row>
    <row r="35" spans="1:11" x14ac:dyDescent="0.25">
      <c r="A35" s="9"/>
    </row>
    <row r="36" spans="1:11" x14ac:dyDescent="0.25">
      <c r="A36" s="9"/>
    </row>
    <row r="37" spans="1:11" x14ac:dyDescent="0.25">
      <c r="A37" s="9"/>
    </row>
    <row r="38" spans="1:11" x14ac:dyDescent="0.25">
      <c r="A38" s="9"/>
    </row>
    <row r="39" spans="1:11" x14ac:dyDescent="0.25">
      <c r="A39" s="9"/>
    </row>
    <row r="40" spans="1:11" x14ac:dyDescent="0.25">
      <c r="A40" s="1" t="s">
        <v>39</v>
      </c>
    </row>
    <row r="41" spans="1:11" s="24" customFormat="1" x14ac:dyDescent="0.25">
      <c r="A41" s="23" t="s">
        <v>38</v>
      </c>
      <c r="B41" s="16">
        <v>45291</v>
      </c>
      <c r="C41" s="16">
        <v>45382</v>
      </c>
      <c r="D41" s="16">
        <v>45473</v>
      </c>
      <c r="E41" s="16">
        <v>45565</v>
      </c>
      <c r="F41" s="16">
        <v>45657</v>
      </c>
      <c r="G41" s="16">
        <v>45747</v>
      </c>
      <c r="H41" s="16">
        <v>45838</v>
      </c>
      <c r="I41" s="16">
        <v>45930</v>
      </c>
      <c r="J41" s="16">
        <v>46022</v>
      </c>
      <c r="K41" s="16">
        <v>46112</v>
      </c>
    </row>
    <row r="42" spans="1:11" s="9" customFormat="1" x14ac:dyDescent="0.25">
      <c r="A42" s="9" t="s">
        <v>6</v>
      </c>
      <c r="B42">
        <v>41940</v>
      </c>
      <c r="C42">
        <v>46269</v>
      </c>
      <c r="D42">
        <v>42943</v>
      </c>
      <c r="E42">
        <v>39684</v>
      </c>
      <c r="F42">
        <v>41378</v>
      </c>
      <c r="G42">
        <v>44819</v>
      </c>
      <c r="H42">
        <v>43147</v>
      </c>
      <c r="I42">
        <v>45152</v>
      </c>
      <c r="J42">
        <v>45991</v>
      </c>
      <c r="K42">
        <v>51180</v>
      </c>
    </row>
    <row r="43" spans="1:11" s="9" customFormat="1" x14ac:dyDescent="0.25">
      <c r="A43" s="9" t="s">
        <v>7</v>
      </c>
      <c r="B43">
        <v>34776</v>
      </c>
      <c r="C43">
        <v>40243</v>
      </c>
      <c r="D43">
        <v>37445</v>
      </c>
      <c r="E43">
        <v>34309</v>
      </c>
      <c r="F43">
        <v>35799</v>
      </c>
      <c r="G43">
        <v>38684</v>
      </c>
      <c r="H43">
        <v>35671</v>
      </c>
      <c r="I43">
        <v>38125</v>
      </c>
      <c r="J43">
        <v>39612</v>
      </c>
      <c r="K43">
        <v>42716</v>
      </c>
    </row>
    <row r="44" spans="1:11" s="9" customFormat="1" x14ac:dyDescent="0.25">
      <c r="A44" s="9" t="s">
        <v>9</v>
      </c>
      <c r="B44">
        <v>194</v>
      </c>
      <c r="C44">
        <v>242</v>
      </c>
      <c r="D44">
        <v>164</v>
      </c>
      <c r="E44">
        <v>-189</v>
      </c>
      <c r="F44">
        <v>50</v>
      </c>
      <c r="G44">
        <v>186</v>
      </c>
      <c r="H44">
        <v>350</v>
      </c>
      <c r="I44">
        <v>284</v>
      </c>
      <c r="J44">
        <v>-256</v>
      </c>
      <c r="K44">
        <v>18229</v>
      </c>
    </row>
    <row r="45" spans="1:11" s="9" customFormat="1" x14ac:dyDescent="0.25">
      <c r="A45" s="9" t="s">
        <v>10</v>
      </c>
      <c r="B45">
        <v>2059</v>
      </c>
      <c r="C45">
        <v>2194</v>
      </c>
      <c r="D45">
        <v>2209</v>
      </c>
      <c r="E45">
        <v>2267</v>
      </c>
      <c r="F45">
        <v>2336</v>
      </c>
      <c r="G45">
        <v>2497</v>
      </c>
      <c r="H45">
        <v>2537</v>
      </c>
      <c r="I45">
        <v>2554</v>
      </c>
      <c r="J45">
        <v>2362</v>
      </c>
      <c r="K45">
        <v>2148</v>
      </c>
    </row>
    <row r="46" spans="1:11" s="9" customFormat="1" x14ac:dyDescent="0.25">
      <c r="A46" s="9" t="s">
        <v>11</v>
      </c>
      <c r="B46">
        <v>1996</v>
      </c>
      <c r="C46">
        <v>2062</v>
      </c>
      <c r="D46">
        <v>2073</v>
      </c>
      <c r="E46">
        <v>2130</v>
      </c>
      <c r="F46">
        <v>2115</v>
      </c>
      <c r="G46">
        <v>2094</v>
      </c>
      <c r="H46">
        <v>2217</v>
      </c>
      <c r="I46">
        <v>2413</v>
      </c>
      <c r="J46">
        <v>2304</v>
      </c>
      <c r="K46">
        <v>2168</v>
      </c>
    </row>
    <row r="47" spans="1:11" s="9" customFormat="1" x14ac:dyDescent="0.25">
      <c r="A47" s="9" t="s">
        <v>12</v>
      </c>
      <c r="B47">
        <v>3303</v>
      </c>
      <c r="C47">
        <v>2012</v>
      </c>
      <c r="D47">
        <v>1380</v>
      </c>
      <c r="E47">
        <v>789</v>
      </c>
      <c r="F47">
        <v>1178</v>
      </c>
      <c r="G47">
        <v>1730</v>
      </c>
      <c r="H47">
        <v>3072</v>
      </c>
      <c r="I47">
        <v>2344</v>
      </c>
      <c r="J47">
        <v>1457</v>
      </c>
      <c r="K47">
        <v>22377</v>
      </c>
    </row>
    <row r="48" spans="1:11" s="9" customFormat="1" x14ac:dyDescent="0.25">
      <c r="A48" s="9" t="s">
        <v>13</v>
      </c>
      <c r="B48">
        <v>853</v>
      </c>
      <c r="C48">
        <v>690</v>
      </c>
      <c r="D48">
        <v>513</v>
      </c>
      <c r="E48">
        <v>385</v>
      </c>
      <c r="F48">
        <v>459</v>
      </c>
      <c r="G48">
        <v>229</v>
      </c>
      <c r="H48">
        <v>863</v>
      </c>
      <c r="I48">
        <v>698</v>
      </c>
      <c r="J48">
        <v>-953</v>
      </c>
      <c r="K48">
        <v>3134</v>
      </c>
    </row>
    <row r="49" spans="1:11" s="9" customFormat="1" x14ac:dyDescent="0.25">
      <c r="A49" s="9" t="s">
        <v>14</v>
      </c>
      <c r="B49">
        <v>2415</v>
      </c>
      <c r="C49">
        <v>1299</v>
      </c>
      <c r="D49">
        <v>845</v>
      </c>
      <c r="E49">
        <v>439</v>
      </c>
      <c r="F49">
        <v>717</v>
      </c>
      <c r="G49">
        <v>1503</v>
      </c>
      <c r="H49">
        <v>2184</v>
      </c>
      <c r="I49">
        <v>1623</v>
      </c>
      <c r="J49">
        <v>2139</v>
      </c>
      <c r="K49">
        <v>16370</v>
      </c>
    </row>
    <row r="50" spans="1:11" x14ac:dyDescent="0.25">
      <c r="A50" s="9" t="s">
        <v>8</v>
      </c>
      <c r="B50">
        <v>7164</v>
      </c>
      <c r="C50">
        <v>6026</v>
      </c>
      <c r="D50">
        <v>5498</v>
      </c>
      <c r="E50">
        <v>5375</v>
      </c>
      <c r="F50">
        <v>5579</v>
      </c>
      <c r="G50">
        <v>6135</v>
      </c>
      <c r="H50">
        <v>7476</v>
      </c>
      <c r="I50">
        <v>7027</v>
      </c>
      <c r="J50">
        <v>6379</v>
      </c>
      <c r="K50">
        <v>8464</v>
      </c>
    </row>
    <row r="51" spans="1:11" x14ac:dyDescent="0.25">
      <c r="A51" s="9"/>
    </row>
    <row r="52" spans="1:11" x14ac:dyDescent="0.25">
      <c r="A52" s="9"/>
    </row>
    <row r="53" spans="1:11" x14ac:dyDescent="0.25">
      <c r="A53" s="9"/>
    </row>
    <row r="54" spans="1:11" x14ac:dyDescent="0.25">
      <c r="A54" s="9"/>
    </row>
    <row r="55" spans="1:11" x14ac:dyDescent="0.25">
      <c r="A55" s="1" t="s">
        <v>40</v>
      </c>
    </row>
    <row r="56" spans="1:11" s="24" customFormat="1" x14ac:dyDescent="0.25">
      <c r="A56" s="23" t="s">
        <v>38</v>
      </c>
      <c r="B56" s="16">
        <v>42825</v>
      </c>
      <c r="C56" s="16">
        <v>43190</v>
      </c>
      <c r="D56" s="16">
        <v>43555</v>
      </c>
      <c r="E56" s="16">
        <v>43921</v>
      </c>
      <c r="F56" s="16">
        <v>44286</v>
      </c>
      <c r="G56" s="16">
        <v>44651</v>
      </c>
      <c r="H56" s="16">
        <v>45016</v>
      </c>
      <c r="I56" s="16">
        <v>45382</v>
      </c>
      <c r="J56" s="16">
        <v>45747</v>
      </c>
      <c r="K56" s="16">
        <v>46112</v>
      </c>
    </row>
    <row r="57" spans="1:11" x14ac:dyDescent="0.25">
      <c r="A57" s="9" t="s">
        <v>24</v>
      </c>
      <c r="B57">
        <v>301</v>
      </c>
      <c r="C57">
        <v>302</v>
      </c>
      <c r="D57">
        <v>301</v>
      </c>
      <c r="E57">
        <v>301</v>
      </c>
      <c r="F57">
        <v>302</v>
      </c>
      <c r="G57">
        <v>301</v>
      </c>
      <c r="H57">
        <v>301</v>
      </c>
      <c r="I57">
        <v>305</v>
      </c>
      <c r="J57">
        <v>305</v>
      </c>
      <c r="K57">
        <v>305</v>
      </c>
    </row>
    <row r="58" spans="1:11" x14ac:dyDescent="0.25">
      <c r="A58" s="9" t="s">
        <v>25</v>
      </c>
      <c r="B58">
        <v>22346</v>
      </c>
      <c r="C58">
        <v>27696</v>
      </c>
      <c r="D58">
        <v>34494</v>
      </c>
      <c r="E58">
        <v>36298</v>
      </c>
      <c r="F58">
        <v>45308</v>
      </c>
      <c r="G58">
        <v>66996</v>
      </c>
      <c r="H58">
        <v>65394</v>
      </c>
      <c r="I58">
        <v>77364</v>
      </c>
      <c r="J58">
        <v>79191</v>
      </c>
      <c r="K58">
        <v>99748</v>
      </c>
    </row>
    <row r="59" spans="1:11" x14ac:dyDescent="0.25">
      <c r="A59" s="9" t="s">
        <v>71</v>
      </c>
      <c r="B59">
        <v>43334</v>
      </c>
      <c r="C59">
        <v>39393</v>
      </c>
      <c r="D59">
        <v>47396</v>
      </c>
      <c r="E59">
        <v>61423</v>
      </c>
      <c r="F59">
        <v>66727</v>
      </c>
      <c r="G59">
        <v>72237</v>
      </c>
      <c r="H59">
        <v>80853</v>
      </c>
      <c r="I59">
        <v>87984</v>
      </c>
      <c r="J59">
        <v>98752</v>
      </c>
      <c r="K59">
        <v>99310</v>
      </c>
    </row>
    <row r="60" spans="1:11" x14ac:dyDescent="0.25">
      <c r="A60" s="9" t="s">
        <v>72</v>
      </c>
      <c r="B60">
        <v>22024</v>
      </c>
      <c r="C60">
        <v>24579</v>
      </c>
      <c r="D60">
        <v>32606</v>
      </c>
      <c r="E60">
        <v>33798</v>
      </c>
      <c r="F60">
        <v>34826</v>
      </c>
      <c r="G60">
        <v>56951</v>
      </c>
      <c r="H60">
        <v>63991</v>
      </c>
      <c r="I60">
        <v>62245</v>
      </c>
      <c r="J60">
        <v>62197</v>
      </c>
      <c r="K60">
        <v>70313</v>
      </c>
    </row>
    <row r="61" spans="1:11" s="1" customFormat="1" x14ac:dyDescent="0.25">
      <c r="A61" s="1" t="s">
        <v>26</v>
      </c>
      <c r="B61">
        <v>88005</v>
      </c>
      <c r="C61">
        <v>91970</v>
      </c>
      <c r="D61">
        <v>114797</v>
      </c>
      <c r="E61">
        <v>131820</v>
      </c>
      <c r="F61">
        <v>147163</v>
      </c>
      <c r="G61">
        <v>196485</v>
      </c>
      <c r="H61">
        <v>210539</v>
      </c>
      <c r="I61">
        <v>227898</v>
      </c>
      <c r="J61">
        <v>240445</v>
      </c>
      <c r="K61">
        <v>269676</v>
      </c>
    </row>
    <row r="62" spans="1:11" x14ac:dyDescent="0.25">
      <c r="A62" s="9" t="s">
        <v>27</v>
      </c>
      <c r="B62">
        <v>58730</v>
      </c>
      <c r="C62">
        <v>57848</v>
      </c>
      <c r="D62">
        <v>62644</v>
      </c>
      <c r="E62">
        <v>62085</v>
      </c>
      <c r="F62">
        <v>64917</v>
      </c>
      <c r="G62">
        <v>99880</v>
      </c>
      <c r="H62">
        <v>104452</v>
      </c>
      <c r="I62">
        <v>112461</v>
      </c>
      <c r="J62">
        <v>124466</v>
      </c>
      <c r="K62">
        <v>117552</v>
      </c>
    </row>
    <row r="63" spans="1:11" x14ac:dyDescent="0.25">
      <c r="A63" s="9" t="s">
        <v>28</v>
      </c>
      <c r="B63">
        <v>4363</v>
      </c>
      <c r="C63">
        <v>5950</v>
      </c>
      <c r="D63">
        <v>11889</v>
      </c>
      <c r="E63">
        <v>27191</v>
      </c>
      <c r="F63">
        <v>32566</v>
      </c>
      <c r="G63">
        <v>16905</v>
      </c>
      <c r="H63">
        <v>22166</v>
      </c>
      <c r="I63">
        <v>29676</v>
      </c>
      <c r="J63">
        <v>21007</v>
      </c>
      <c r="K63">
        <v>21892</v>
      </c>
    </row>
    <row r="64" spans="1:11" x14ac:dyDescent="0.25">
      <c r="A64" s="9" t="s">
        <v>29</v>
      </c>
      <c r="B64">
        <v>1366</v>
      </c>
      <c r="C64">
        <v>1469</v>
      </c>
      <c r="D64">
        <v>1894</v>
      </c>
      <c r="E64">
        <v>1259</v>
      </c>
      <c r="F64">
        <v>7427</v>
      </c>
      <c r="G64">
        <v>4940</v>
      </c>
      <c r="H64">
        <v>4806</v>
      </c>
      <c r="I64">
        <v>7246</v>
      </c>
      <c r="J64">
        <v>15217</v>
      </c>
      <c r="K64">
        <v>10218</v>
      </c>
    </row>
    <row r="65" spans="1:11" x14ac:dyDescent="0.25">
      <c r="A65" s="9" t="s">
        <v>73</v>
      </c>
      <c r="B65">
        <v>23546</v>
      </c>
      <c r="C65">
        <v>26703</v>
      </c>
      <c r="D65">
        <v>38370</v>
      </c>
      <c r="E65">
        <v>41285</v>
      </c>
      <c r="F65">
        <v>42253</v>
      </c>
      <c r="G65">
        <v>74760</v>
      </c>
      <c r="H65">
        <v>79115</v>
      </c>
      <c r="I65">
        <v>78515</v>
      </c>
      <c r="J65">
        <v>79755</v>
      </c>
      <c r="K65">
        <v>120014</v>
      </c>
    </row>
    <row r="66" spans="1:11" s="1" customFormat="1" x14ac:dyDescent="0.25">
      <c r="A66" s="1" t="s">
        <v>26</v>
      </c>
      <c r="B66">
        <v>88005</v>
      </c>
      <c r="C66">
        <v>91970</v>
      </c>
      <c r="D66">
        <v>114797</v>
      </c>
      <c r="E66">
        <v>131820</v>
      </c>
      <c r="F66">
        <v>147163</v>
      </c>
      <c r="G66">
        <v>196485</v>
      </c>
      <c r="H66">
        <v>210539</v>
      </c>
      <c r="I66">
        <v>227898</v>
      </c>
      <c r="J66">
        <v>240445</v>
      </c>
      <c r="K66">
        <v>269676</v>
      </c>
    </row>
    <row r="67" spans="1:11" s="9" customFormat="1" x14ac:dyDescent="0.25">
      <c r="A67" s="9" t="s">
        <v>78</v>
      </c>
      <c r="B67">
        <v>4149</v>
      </c>
      <c r="C67">
        <v>4704</v>
      </c>
      <c r="D67">
        <v>7160</v>
      </c>
      <c r="E67">
        <v>4505</v>
      </c>
      <c r="F67">
        <v>4486</v>
      </c>
      <c r="G67">
        <v>7457</v>
      </c>
      <c r="H67">
        <v>7134</v>
      </c>
      <c r="I67">
        <v>7548</v>
      </c>
      <c r="J67">
        <v>8415</v>
      </c>
      <c r="K67">
        <v>11260</v>
      </c>
    </row>
    <row r="68" spans="1:11" x14ac:dyDescent="0.25">
      <c r="A68" s="9" t="s">
        <v>45</v>
      </c>
      <c r="B68">
        <v>11395</v>
      </c>
      <c r="C68">
        <v>12594</v>
      </c>
      <c r="D68">
        <v>14548</v>
      </c>
      <c r="E68">
        <v>13773</v>
      </c>
      <c r="F68">
        <v>14249</v>
      </c>
      <c r="G68">
        <v>33787</v>
      </c>
      <c r="H68">
        <v>33135</v>
      </c>
      <c r="I68">
        <v>37815</v>
      </c>
      <c r="J68">
        <v>34956</v>
      </c>
      <c r="K68">
        <v>32765</v>
      </c>
    </row>
    <row r="69" spans="1:11" x14ac:dyDescent="0.25">
      <c r="A69" s="5" t="s">
        <v>87</v>
      </c>
      <c r="B69">
        <v>1485</v>
      </c>
      <c r="C69">
        <v>1063</v>
      </c>
      <c r="D69">
        <v>6187</v>
      </c>
      <c r="E69">
        <v>12003</v>
      </c>
      <c r="F69">
        <v>12813</v>
      </c>
      <c r="G69">
        <v>17383</v>
      </c>
      <c r="H69">
        <v>20714</v>
      </c>
      <c r="I69">
        <v>12348</v>
      </c>
      <c r="J69">
        <v>13285</v>
      </c>
      <c r="K69">
        <v>40989</v>
      </c>
    </row>
    <row r="70" spans="1:11" x14ac:dyDescent="0.25">
      <c r="A70" s="5" t="s">
        <v>74</v>
      </c>
      <c r="B70">
        <v>3012984690</v>
      </c>
      <c r="C70">
        <v>3016231580</v>
      </c>
      <c r="D70">
        <v>3011711464</v>
      </c>
      <c r="E70">
        <v>3011711464</v>
      </c>
      <c r="F70">
        <v>3015766346</v>
      </c>
      <c r="G70">
        <v>3016603583</v>
      </c>
      <c r="H70">
        <v>3020456419</v>
      </c>
      <c r="I70">
        <v>3052602319</v>
      </c>
      <c r="J70">
        <v>3052602319</v>
      </c>
      <c r="K70"/>
    </row>
    <row r="71" spans="1:11" x14ac:dyDescent="0.25">
      <c r="A71" s="5" t="s">
        <v>75</v>
      </c>
    </row>
    <row r="72" spans="1:11" x14ac:dyDescent="0.25">
      <c r="A72" s="5" t="s">
        <v>88</v>
      </c>
      <c r="B72">
        <v>1</v>
      </c>
      <c r="C72">
        <v>1</v>
      </c>
      <c r="D72">
        <v>1</v>
      </c>
      <c r="E72">
        <v>1</v>
      </c>
      <c r="F72">
        <v>1</v>
      </c>
      <c r="G72">
        <v>1</v>
      </c>
      <c r="H72">
        <v>1</v>
      </c>
      <c r="I72">
        <v>1</v>
      </c>
      <c r="J72">
        <v>1</v>
      </c>
      <c r="K72">
        <v>1</v>
      </c>
    </row>
    <row r="74" spans="1:11" x14ac:dyDescent="0.25">
      <c r="A74" s="9"/>
    </row>
    <row r="75" spans="1:11" x14ac:dyDescent="0.25">
      <c r="A75" s="9"/>
    </row>
    <row r="76" spans="1:11" x14ac:dyDescent="0.25">
      <c r="A76" s="9"/>
    </row>
    <row r="77" spans="1:11" x14ac:dyDescent="0.25">
      <c r="A77" s="9"/>
    </row>
    <row r="78" spans="1:11" x14ac:dyDescent="0.25">
      <c r="A78" s="9"/>
    </row>
    <row r="79" spans="1:11" x14ac:dyDescent="0.25">
      <c r="A79" s="9"/>
    </row>
    <row r="80" spans="1:11" x14ac:dyDescent="0.25">
      <c r="A80" s="1" t="s">
        <v>41</v>
      </c>
    </row>
    <row r="81" spans="1:11" s="24" customFormat="1" x14ac:dyDescent="0.25">
      <c r="A81" s="23" t="s">
        <v>38</v>
      </c>
      <c r="B81" s="16">
        <v>42825</v>
      </c>
      <c r="C81" s="16">
        <v>43190</v>
      </c>
      <c r="D81" s="16">
        <v>43555</v>
      </c>
      <c r="E81" s="16">
        <v>43921</v>
      </c>
      <c r="F81" s="16">
        <v>44286</v>
      </c>
      <c r="G81" s="16">
        <v>44651</v>
      </c>
      <c r="H81" s="16">
        <v>45016</v>
      </c>
      <c r="I81" s="16">
        <v>45382</v>
      </c>
      <c r="J81" s="16">
        <v>45747</v>
      </c>
      <c r="K81" s="16">
        <v>46112</v>
      </c>
    </row>
    <row r="82" spans="1:11" s="1" customFormat="1" x14ac:dyDescent="0.25">
      <c r="A82" s="9" t="s">
        <v>32</v>
      </c>
      <c r="B82">
        <v>7888</v>
      </c>
      <c r="C82">
        <v>12379</v>
      </c>
      <c r="D82">
        <v>14633</v>
      </c>
      <c r="E82">
        <v>12785</v>
      </c>
      <c r="F82">
        <v>18831</v>
      </c>
      <c r="G82">
        <v>26270</v>
      </c>
      <c r="H82">
        <v>23323</v>
      </c>
      <c r="I82">
        <v>12078</v>
      </c>
      <c r="J82">
        <v>20899</v>
      </c>
      <c r="K82">
        <v>25152</v>
      </c>
    </row>
    <row r="83" spans="1:11" s="9" customFormat="1" x14ac:dyDescent="0.25">
      <c r="A83" s="9" t="s">
        <v>33</v>
      </c>
      <c r="B83">
        <v>-5094</v>
      </c>
      <c r="C83">
        <v>-4529</v>
      </c>
      <c r="D83">
        <v>-11387</v>
      </c>
      <c r="E83">
        <v>-19589</v>
      </c>
      <c r="F83">
        <v>-9410</v>
      </c>
      <c r="G83">
        <v>-14748</v>
      </c>
      <c r="H83">
        <v>-10730</v>
      </c>
      <c r="I83">
        <v>-14467</v>
      </c>
      <c r="J83">
        <v>-17012</v>
      </c>
      <c r="K83">
        <v>18690</v>
      </c>
    </row>
    <row r="84" spans="1:11" s="9" customFormat="1" x14ac:dyDescent="0.25">
      <c r="A84" s="9" t="s">
        <v>34</v>
      </c>
      <c r="B84">
        <v>-2710</v>
      </c>
      <c r="C84">
        <v>-8185</v>
      </c>
      <c r="D84">
        <v>1753</v>
      </c>
      <c r="E84">
        <v>5189</v>
      </c>
      <c r="F84">
        <v>-1444</v>
      </c>
      <c r="G84">
        <v>-14657</v>
      </c>
      <c r="H84">
        <v>-5977</v>
      </c>
      <c r="I84">
        <v>-5005</v>
      </c>
      <c r="J84">
        <v>-262</v>
      </c>
      <c r="K84">
        <v>-16111</v>
      </c>
    </row>
    <row r="85" spans="1:11" s="1" customFormat="1" x14ac:dyDescent="0.25">
      <c r="A85" s="9" t="s">
        <v>35</v>
      </c>
      <c r="B85">
        <v>84</v>
      </c>
      <c r="C85">
        <v>-335</v>
      </c>
      <c r="D85">
        <v>4999</v>
      </c>
      <c r="E85">
        <v>-1615</v>
      </c>
      <c r="F85">
        <v>7977</v>
      </c>
      <c r="G85">
        <v>-3135</v>
      </c>
      <c r="H85">
        <v>6616</v>
      </c>
      <c r="I85">
        <v>-7394</v>
      </c>
      <c r="J85">
        <v>3625</v>
      </c>
      <c r="K85">
        <v>27731</v>
      </c>
    </row>
    <row r="86" spans="1:11" x14ac:dyDescent="0.25">
      <c r="A86" s="9"/>
    </row>
    <row r="87" spans="1:11" x14ac:dyDescent="0.25">
      <c r="A87" s="9"/>
    </row>
    <row r="88" spans="1:11" x14ac:dyDescent="0.25">
      <c r="A88" s="9"/>
    </row>
    <row r="89" spans="1:11" x14ac:dyDescent="0.25">
      <c r="A89" s="9"/>
    </row>
    <row r="90" spans="1:11" s="1" customFormat="1" x14ac:dyDescent="0.25">
      <c r="A90" s="1" t="s">
        <v>77</v>
      </c>
      <c r="B90">
        <v>188.2</v>
      </c>
      <c r="C90">
        <v>288.14999999999998</v>
      </c>
      <c r="D90">
        <v>293.05</v>
      </c>
      <c r="E90">
        <v>146.25</v>
      </c>
      <c r="F90">
        <v>468.45</v>
      </c>
      <c r="G90">
        <v>732.65</v>
      </c>
      <c r="H90">
        <v>688.1</v>
      </c>
      <c r="I90">
        <v>830.2</v>
      </c>
      <c r="J90">
        <v>1063.2</v>
      </c>
      <c r="K90">
        <v>1122.5</v>
      </c>
    </row>
    <row r="92" spans="1:11" s="1" customFormat="1" x14ac:dyDescent="0.25">
      <c r="A92" s="1" t="s">
        <v>76</v>
      </c>
    </row>
    <row r="93" spans="1:11" x14ac:dyDescent="0.25">
      <c r="A93" s="5" t="s">
        <v>89</v>
      </c>
      <c r="B93" s="31">
        <v>241.72</v>
      </c>
      <c r="C93" s="31">
        <v>241.72</v>
      </c>
      <c r="D93" s="31">
        <v>241.72</v>
      </c>
      <c r="E93" s="31">
        <v>241.72</v>
      </c>
      <c r="F93" s="31">
        <v>241.72</v>
      </c>
      <c r="G93" s="31">
        <v>241.72</v>
      </c>
      <c r="H93" s="31">
        <v>241.72</v>
      </c>
      <c r="I93" s="31">
        <v>244.55</v>
      </c>
      <c r="J93" s="31">
        <v>244.55</v>
      </c>
      <c r="K93" s="31">
        <v>244.55</v>
      </c>
    </row>
  </sheetData>
  <mergeCells count="2">
    <mergeCell ref="E1:K1"/>
    <mergeCell ref="E2:K2"/>
  </mergeCells>
  <conditionalFormatting sqref="E1:K1">
    <cfRule type="cellIs" dxfId="0" priority="1" operator="notEqual">
      <formula>""</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Profit &amp; Loss</vt:lpstr>
      <vt:lpstr>Quarters</vt:lpstr>
      <vt:lpstr>Balance Sheet</vt:lpstr>
      <vt:lpstr>Cash Flow</vt:lpstr>
      <vt:lpstr>Customization</vt:lpstr>
      <vt:lpstr>Historical</vt:lpstr>
      <vt:lpstr>Common Size</vt:lpstr>
      <vt:lpstr>Ratio Analysis</vt:lpstr>
      <vt:lpstr>DCF Model</vt:lpstr>
      <vt:lpstr>FCFF</vt:lpstr>
      <vt:lpstr>Growth</vt:lpstr>
      <vt:lpstr>WACC</vt:lpstr>
      <vt:lpstr>DuPont Analysis</vt:lpstr>
      <vt:lpstr>Altman z score</vt:lpstr>
      <vt:lpstr>Benish Model</vt:lpstr>
      <vt:lpstr>Conclusion</vt:lpstr>
      <vt:lpstr>Cash flow data sheet</vt:lpstr>
      <vt:lpstr>Data Sheet</vt:lpstr>
      <vt:lpstr>ERP</vt:lpstr>
      <vt:lpstr>'DuPont Analysis'!Print_Area</vt:lpstr>
      <vt:lpstr>RF</vt:lpstr>
      <vt:lpstr>rf_rate</vt:lpstr>
      <vt:lpstr>tap_rate</vt:lpstr>
      <vt:lpstr>Taper_rate</vt:lpstr>
      <vt:lpstr>tax_rate</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yash malra</cp:lastModifiedBy>
  <cp:lastPrinted>2026-06-16T07:37:41Z</cp:lastPrinted>
  <dcterms:created xsi:type="dcterms:W3CDTF">2012-08-17T09:55:37Z</dcterms:created>
  <dcterms:modified xsi:type="dcterms:W3CDTF">2026-09-29T19:47:46Z</dcterms:modified>
</cp:coreProperties>
</file>